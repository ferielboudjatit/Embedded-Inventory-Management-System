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ustomProperty1.bin" ContentType="application/vnd.openxmlformats-officedocument.spreadsheetml.customProperty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udjatf\Database_update\Database\"/>
    </mc:Choice>
  </mc:AlternateContent>
  <xr:revisionPtr revIDLastSave="0" documentId="13_ncr:1_{E05B60A4-E224-4E53-BB96-C445B09CEE9C}" xr6:coauthVersionLast="47" xr6:coauthVersionMax="47" xr10:uidLastSave="{00000000-0000-0000-0000-000000000000}"/>
  <bookViews>
    <workbookView xWindow="10092" yWindow="-13068" windowWidth="23256" windowHeight="12456" firstSheet="4" activeTab="4" xr2:uid="{00000000-000D-0000-FFFF-FFFF00000000}"/>
  </bookViews>
  <sheets>
    <sheet name="Furnitures" sheetId="6" r:id="rId1"/>
    <sheet name="Furnitures_Automated" sheetId="18" r:id="rId2"/>
    <sheet name="User_map" sheetId="17" r:id="rId3"/>
    <sheet name="NUCLEO" sheetId="1" r:id="rId4"/>
    <sheet name="NUCLEO_Automated" sheetId="22" r:id="rId5"/>
    <sheet name="DISCOVERY-EVAL" sheetId="4" r:id="rId6"/>
    <sheet name="DISCOVERY-EVAL_Automated" sheetId="23" r:id="rId7"/>
    <sheet name="Roaming" sheetId="5" r:id="rId8"/>
    <sheet name="Classified as UnClassified" sheetId="3" state="hidden" r:id="rId9"/>
    <sheet name="xl_DCF_History" sheetId="2" state="veryHidden" r:id="rId10"/>
  </sheets>
  <definedNames>
    <definedName name="_xlnm._FilterDatabase" localSheetId="3" hidden="1">NUCLEO!$O$2:$T$2</definedName>
    <definedName name="_xlnm._FilterDatabase" localSheetId="7" hidden="1">Roaming!$A$3:$AJ$385</definedName>
    <definedName name="ExternalData_1" localSheetId="6" hidden="1">'DISCOVERY-EVAL_Automated'!$A$1:$G$910</definedName>
    <definedName name="ExternalData_1" localSheetId="1" hidden="1">Furnitures_Automated!$A$1:$G$96</definedName>
    <definedName name="ExternalData_1" localSheetId="4" hidden="1">NUCLEO_Automated!$A$1:$G$1114</definedName>
    <definedName name="_xlnm.Print_Area" localSheetId="3">NUCLEO!$B$2:$F$119</definedName>
    <definedName name="UserPath">User_map!$F$1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51" i="5" l="1"/>
  <c r="C251" i="5"/>
  <c r="E251" i="5"/>
  <c r="D251" i="5" s="1"/>
  <c r="A15" i="5"/>
  <c r="C15" i="5"/>
  <c r="E15" i="5"/>
  <c r="D15" i="5" s="1"/>
  <c r="A16" i="5"/>
  <c r="C16" i="5"/>
  <c r="E16" i="5"/>
  <c r="D16" i="5" s="1"/>
  <c r="A17" i="5"/>
  <c r="C17" i="5"/>
  <c r="E17" i="5"/>
  <c r="D17" i="5" s="1"/>
  <c r="A18" i="5"/>
  <c r="C18" i="5"/>
  <c r="E18" i="5"/>
  <c r="D18" i="5" s="1"/>
  <c r="A19" i="5"/>
  <c r="C19" i="5"/>
  <c r="E19" i="5"/>
  <c r="D19" i="5" s="1"/>
  <c r="A20" i="5"/>
  <c r="C20" i="5"/>
  <c r="E20" i="5"/>
  <c r="D20" i="5" s="1"/>
  <c r="A21" i="5"/>
  <c r="C21" i="5"/>
  <c r="E21" i="5"/>
  <c r="D21" i="5" s="1"/>
  <c r="A22" i="5"/>
  <c r="C22" i="5"/>
  <c r="E22" i="5"/>
  <c r="D22" i="5" s="1"/>
  <c r="A23" i="5"/>
  <c r="C23" i="5"/>
  <c r="E23" i="5"/>
  <c r="D23" i="5" s="1"/>
  <c r="A24" i="5"/>
  <c r="C24" i="5"/>
  <c r="E24" i="5"/>
  <c r="D24" i="5" s="1"/>
  <c r="A25" i="5"/>
  <c r="C25" i="5"/>
  <c r="E25" i="5"/>
  <c r="D25" i="5" s="1"/>
  <c r="A26" i="5"/>
  <c r="C26" i="5"/>
  <c r="E26" i="5"/>
  <c r="D26" i="5" s="1"/>
  <c r="A27" i="5"/>
  <c r="C27" i="5"/>
  <c r="E27" i="5"/>
  <c r="D27" i="5" s="1"/>
  <c r="A28" i="5"/>
  <c r="C28" i="5"/>
  <c r="E28" i="5"/>
  <c r="D28" i="5" s="1"/>
  <c r="A29" i="5"/>
  <c r="C29" i="5"/>
  <c r="E29" i="5"/>
  <c r="D29" i="5" s="1"/>
  <c r="A30" i="5"/>
  <c r="C30" i="5"/>
  <c r="E30" i="5"/>
  <c r="D30" i="5" s="1"/>
  <c r="A31" i="5"/>
  <c r="C31" i="5"/>
  <c r="E31" i="5"/>
  <c r="D31" i="5" s="1"/>
  <c r="A32" i="5"/>
  <c r="C32" i="5"/>
  <c r="E32" i="5"/>
  <c r="D32" i="5" s="1"/>
  <c r="A33" i="5"/>
  <c r="C33" i="5"/>
  <c r="E33" i="5"/>
  <c r="D33" i="5" s="1"/>
  <c r="A34" i="5"/>
  <c r="C34" i="5"/>
  <c r="E34" i="5"/>
  <c r="D34" i="5" s="1"/>
  <c r="A35" i="5"/>
  <c r="C35" i="5"/>
  <c r="E35" i="5"/>
  <c r="D35" i="5" s="1"/>
  <c r="A36" i="5"/>
  <c r="C36" i="5"/>
  <c r="E36" i="5"/>
  <c r="D36" i="5" s="1"/>
  <c r="A37" i="5"/>
  <c r="C37" i="5"/>
  <c r="E37" i="5"/>
  <c r="D37" i="5" s="1"/>
  <c r="A38" i="5"/>
  <c r="C38" i="5"/>
  <c r="E38" i="5"/>
  <c r="D38" i="5" s="1"/>
  <c r="A39" i="5"/>
  <c r="C39" i="5"/>
  <c r="E39" i="5"/>
  <c r="D39" i="5" s="1"/>
  <c r="A40" i="5"/>
  <c r="C40" i="5"/>
  <c r="E40" i="5"/>
  <c r="D40" i="5" s="1"/>
  <c r="A41" i="5"/>
  <c r="C41" i="5"/>
  <c r="E41" i="5"/>
  <c r="D41" i="5" s="1"/>
  <c r="A42" i="5"/>
  <c r="C42" i="5"/>
  <c r="E42" i="5"/>
  <c r="D42" i="5" s="1"/>
  <c r="A43" i="5"/>
  <c r="C43" i="5"/>
  <c r="E43" i="5"/>
  <c r="D43" i="5" s="1"/>
  <c r="A44" i="5"/>
  <c r="C44" i="5"/>
  <c r="E44" i="5"/>
  <c r="D44" i="5" s="1"/>
  <c r="A45" i="5"/>
  <c r="C45" i="5"/>
  <c r="E45" i="5"/>
  <c r="D45" i="5" s="1"/>
  <c r="A46" i="5"/>
  <c r="C46" i="5"/>
  <c r="E46" i="5"/>
  <c r="D46" i="5" s="1"/>
  <c r="A47" i="5"/>
  <c r="C47" i="5"/>
  <c r="E47" i="5"/>
  <c r="D47" i="5" s="1"/>
  <c r="A48" i="5"/>
  <c r="C48" i="5"/>
  <c r="E48" i="5"/>
  <c r="D48" i="5" s="1"/>
  <c r="A49" i="5"/>
  <c r="C49" i="5"/>
  <c r="E49" i="5"/>
  <c r="D49" i="5" s="1"/>
  <c r="A50" i="5"/>
  <c r="C50" i="5"/>
  <c r="E50" i="5"/>
  <c r="D50" i="5" s="1"/>
  <c r="A51" i="5"/>
  <c r="C51" i="5"/>
  <c r="E51" i="5"/>
  <c r="D51" i="5" s="1"/>
  <c r="A52" i="5"/>
  <c r="C52" i="5"/>
  <c r="E52" i="5"/>
  <c r="D52" i="5" s="1"/>
  <c r="A53" i="5"/>
  <c r="C53" i="5"/>
  <c r="E53" i="5"/>
  <c r="D53" i="5" s="1"/>
  <c r="A54" i="5"/>
  <c r="C54" i="5"/>
  <c r="E54" i="5"/>
  <c r="D54" i="5" s="1"/>
  <c r="A55" i="5"/>
  <c r="C55" i="5"/>
  <c r="E55" i="5"/>
  <c r="D55" i="5" s="1"/>
  <c r="A56" i="5"/>
  <c r="C56" i="5"/>
  <c r="E56" i="5"/>
  <c r="D56" i="5" s="1"/>
  <c r="A57" i="5"/>
  <c r="C57" i="5"/>
  <c r="E57" i="5"/>
  <c r="D57" i="5" s="1"/>
  <c r="A58" i="5"/>
  <c r="C58" i="5"/>
  <c r="E58" i="5"/>
  <c r="D58" i="5" s="1"/>
  <c r="A59" i="5"/>
  <c r="C59" i="5"/>
  <c r="E59" i="5"/>
  <c r="D59" i="5" s="1"/>
  <c r="A60" i="5"/>
  <c r="C60" i="5"/>
  <c r="E60" i="5"/>
  <c r="D60" i="5" s="1"/>
  <c r="A61" i="5"/>
  <c r="C61" i="5"/>
  <c r="E61" i="5"/>
  <c r="D61" i="5" s="1"/>
  <c r="A62" i="5"/>
  <c r="C62" i="5"/>
  <c r="E62" i="5"/>
  <c r="D62" i="5" s="1"/>
  <c r="A63" i="5"/>
  <c r="C63" i="5"/>
  <c r="E63" i="5"/>
  <c r="D63" i="5" s="1"/>
  <c r="A64" i="5"/>
  <c r="C64" i="5"/>
  <c r="E64" i="5"/>
  <c r="D64" i="5" s="1"/>
  <c r="A65" i="5"/>
  <c r="C65" i="5"/>
  <c r="E65" i="5"/>
  <c r="D65" i="5" s="1"/>
  <c r="A66" i="5"/>
  <c r="C66" i="5"/>
  <c r="E66" i="5"/>
  <c r="D66" i="5" s="1"/>
  <c r="A67" i="5"/>
  <c r="C67" i="5"/>
  <c r="E67" i="5"/>
  <c r="D67" i="5" s="1"/>
  <c r="A68" i="5"/>
  <c r="C68" i="5"/>
  <c r="E68" i="5"/>
  <c r="D68" i="5" s="1"/>
  <c r="A69" i="5"/>
  <c r="C69" i="5"/>
  <c r="E69" i="5"/>
  <c r="D69" i="5" s="1"/>
  <c r="A70" i="5"/>
  <c r="C70" i="5"/>
  <c r="E70" i="5"/>
  <c r="D70" i="5" s="1"/>
  <c r="A299" i="5"/>
  <c r="C299" i="5"/>
  <c r="E299" i="5"/>
  <c r="D299" i="5" s="1"/>
  <c r="A286" i="5"/>
  <c r="C286" i="5"/>
  <c r="E286" i="5"/>
  <c r="D286" i="5" s="1"/>
  <c r="A279" i="5"/>
  <c r="C279" i="5"/>
  <c r="E279" i="5"/>
  <c r="D279" i="5" s="1"/>
  <c r="A109" i="5"/>
  <c r="C109" i="5"/>
  <c r="E109" i="5"/>
  <c r="D109" i="5" s="1"/>
  <c r="A381" i="5"/>
  <c r="C381" i="5"/>
  <c r="E381" i="5"/>
  <c r="D381" i="5" s="1"/>
  <c r="A266" i="5"/>
  <c r="C266" i="5"/>
  <c r="E266" i="5"/>
  <c r="D266" i="5" s="1"/>
  <c r="A257" i="5"/>
  <c r="C257" i="5"/>
  <c r="E257" i="5"/>
  <c r="D257" i="5" s="1"/>
  <c r="A258" i="5"/>
  <c r="C258" i="5"/>
  <c r="E258" i="5"/>
  <c r="D258" i="5" s="1"/>
  <c r="A259" i="5"/>
  <c r="C259" i="5"/>
  <c r="E259" i="5"/>
  <c r="D259" i="5" s="1"/>
  <c r="A260" i="5"/>
  <c r="C260" i="5"/>
  <c r="E260" i="5"/>
  <c r="D260" i="5" s="1"/>
  <c r="C189" i="5"/>
  <c r="D72" i="1"/>
  <c r="A200" i="5"/>
  <c r="C200" i="5"/>
  <c r="E200" i="5"/>
  <c r="D200" i="5" s="1"/>
  <c r="A304" i="5"/>
  <c r="C304" i="5"/>
  <c r="E304" i="5"/>
  <c r="D304" i="5" s="1"/>
  <c r="A305" i="5"/>
  <c r="C305" i="5"/>
  <c r="E305" i="5"/>
  <c r="D305" i="5" s="1"/>
  <c r="A303" i="5"/>
  <c r="A268" i="5"/>
  <c r="C268" i="5"/>
  <c r="E268" i="5"/>
  <c r="D268" i="5" s="1"/>
  <c r="A269" i="5"/>
  <c r="C269" i="5"/>
  <c r="E269" i="5"/>
  <c r="D269" i="5" s="1"/>
  <c r="A105" i="5"/>
  <c r="C105" i="5"/>
  <c r="E105" i="5"/>
  <c r="D105" i="5" s="1"/>
  <c r="C180" i="5"/>
  <c r="A186" i="5"/>
  <c r="C186" i="5"/>
  <c r="E186" i="5"/>
  <c r="D186" i="5" s="1"/>
  <c r="A187" i="5"/>
  <c r="C187" i="5"/>
  <c r="E187" i="5"/>
  <c r="D187" i="5" s="1"/>
  <c r="A131" i="5"/>
  <c r="C131" i="5"/>
  <c r="E131" i="5"/>
  <c r="D131" i="5" s="1"/>
  <c r="A376" i="5"/>
  <c r="C376" i="5"/>
  <c r="E376" i="5"/>
  <c r="D376" i="5" s="1"/>
  <c r="A205" i="5"/>
  <c r="C205" i="5"/>
  <c r="E205" i="5"/>
  <c r="D205" i="5" s="1"/>
  <c r="A206" i="5"/>
  <c r="C206" i="5"/>
  <c r="E206" i="5"/>
  <c r="D206" i="5" s="1"/>
  <c r="A86" i="5"/>
  <c r="C86" i="5"/>
  <c r="E86" i="5"/>
  <c r="D86" i="5" s="1"/>
  <c r="A153" i="5"/>
  <c r="C153" i="5"/>
  <c r="E153" i="5"/>
  <c r="D153" i="5" s="1"/>
  <c r="A280" i="5"/>
  <c r="C280" i="5"/>
  <c r="E280" i="5"/>
  <c r="D280" i="5" s="1"/>
  <c r="A283" i="5"/>
  <c r="C283" i="5"/>
  <c r="E283" i="5"/>
  <c r="D283" i="5" s="1"/>
  <c r="AG2" i="5"/>
  <c r="A171" i="5"/>
  <c r="C171" i="5"/>
  <c r="E171" i="5"/>
  <c r="D171" i="5" s="1"/>
  <c r="A168" i="5"/>
  <c r="C168" i="5"/>
  <c r="E168" i="5"/>
  <c r="D168" i="5" s="1"/>
  <c r="A344" i="5"/>
  <c r="C344" i="5"/>
  <c r="E344" i="5"/>
  <c r="D344" i="5" s="1"/>
  <c r="A185" i="5"/>
  <c r="C185" i="5"/>
  <c r="E185" i="5"/>
  <c r="D185" i="5" s="1"/>
  <c r="A189" i="5"/>
  <c r="E189" i="5"/>
  <c r="D189" i="5" s="1"/>
  <c r="A318" i="5"/>
  <c r="C318" i="5"/>
  <c r="E318" i="5"/>
  <c r="D318" i="5" s="1"/>
  <c r="A354" i="5"/>
  <c r="C354" i="5"/>
  <c r="E354" i="5"/>
  <c r="D354" i="5" s="1"/>
  <c r="A298" i="5"/>
  <c r="C298" i="5"/>
  <c r="E298" i="5"/>
  <c r="D298" i="5" s="1"/>
  <c r="A253" i="5"/>
  <c r="C253" i="5"/>
  <c r="E253" i="5"/>
  <c r="D253" i="5" s="1"/>
  <c r="A278" i="5"/>
  <c r="C278" i="5"/>
  <c r="E278" i="5"/>
  <c r="D278" i="5" s="1"/>
  <c r="A199" i="5"/>
  <c r="C199" i="5"/>
  <c r="E199" i="5"/>
  <c r="D199" i="5" s="1"/>
  <c r="C89" i="5"/>
  <c r="A173" i="5"/>
  <c r="C173" i="5"/>
  <c r="E173" i="5"/>
  <c r="D173" i="5" s="1"/>
  <c r="A174" i="5"/>
  <c r="C174" i="5"/>
  <c r="E174" i="5"/>
  <c r="D174" i="5" s="1"/>
  <c r="A96" i="5"/>
  <c r="C96" i="5"/>
  <c r="E96" i="5"/>
  <c r="D96" i="5" s="1"/>
  <c r="A132" i="5"/>
  <c r="C132" i="5"/>
  <c r="E132" i="5"/>
  <c r="D132" i="5" s="1"/>
  <c r="A104" i="5"/>
  <c r="C104" i="5"/>
  <c r="E104" i="5"/>
  <c r="D104" i="5" s="1"/>
  <c r="AH2" i="5"/>
  <c r="A284" i="5"/>
  <c r="C284" i="5"/>
  <c r="E284" i="5"/>
  <c r="D284" i="5" s="1"/>
  <c r="E282" i="5"/>
  <c r="D282" i="5" s="1"/>
  <c r="A92" i="5"/>
  <c r="C92" i="5"/>
  <c r="E92" i="5"/>
  <c r="D92" i="5" s="1"/>
  <c r="A93" i="5"/>
  <c r="C93" i="5"/>
  <c r="E93" i="5"/>
  <c r="D93" i="5" s="1"/>
  <c r="A339" i="5"/>
  <c r="C339" i="5"/>
  <c r="E339" i="5"/>
  <c r="D339" i="5" s="1"/>
  <c r="A323" i="5"/>
  <c r="C323" i="5"/>
  <c r="E323" i="5"/>
  <c r="D323" i="5" s="1"/>
  <c r="A382" i="5"/>
  <c r="C382" i="5"/>
  <c r="E382" i="5"/>
  <c r="D382" i="5" s="1"/>
  <c r="C240" i="5"/>
  <c r="A209" i="5"/>
  <c r="C209" i="5"/>
  <c r="E209" i="5"/>
  <c r="D209" i="5" s="1"/>
  <c r="A210" i="5"/>
  <c r="C210" i="5"/>
  <c r="E210" i="5"/>
  <c r="D210" i="5" s="1"/>
  <c r="A211" i="5"/>
  <c r="C211" i="5"/>
  <c r="E211" i="5"/>
  <c r="D211" i="5" s="1"/>
  <c r="A212" i="5"/>
  <c r="C212" i="5"/>
  <c r="E212" i="5"/>
  <c r="D212" i="5" s="1"/>
  <c r="A213" i="5"/>
  <c r="C213" i="5"/>
  <c r="E213" i="5"/>
  <c r="D213" i="5" s="1"/>
  <c r="A214" i="5"/>
  <c r="C214" i="5"/>
  <c r="E214" i="5"/>
  <c r="D214" i="5" s="1"/>
  <c r="A215" i="5"/>
  <c r="C215" i="5"/>
  <c r="E215" i="5"/>
  <c r="D215" i="5" s="1"/>
  <c r="A216" i="5"/>
  <c r="C216" i="5"/>
  <c r="E216" i="5"/>
  <c r="D216" i="5" s="1"/>
  <c r="A217" i="5"/>
  <c r="C217" i="5"/>
  <c r="E217" i="5"/>
  <c r="D217" i="5" s="1"/>
  <c r="A218" i="5"/>
  <c r="C218" i="5"/>
  <c r="E218" i="5"/>
  <c r="D218" i="5" s="1"/>
  <c r="A219" i="5"/>
  <c r="C219" i="5"/>
  <c r="E219" i="5"/>
  <c r="D219" i="5" s="1"/>
  <c r="A220" i="5"/>
  <c r="C220" i="5"/>
  <c r="E220" i="5"/>
  <c r="D220" i="5" s="1"/>
  <c r="A221" i="5"/>
  <c r="C221" i="5"/>
  <c r="E221" i="5"/>
  <c r="D221" i="5" s="1"/>
  <c r="A222" i="5"/>
  <c r="C222" i="5"/>
  <c r="E222" i="5"/>
  <c r="D222" i="5" s="1"/>
  <c r="A223" i="5"/>
  <c r="C223" i="5"/>
  <c r="E223" i="5"/>
  <c r="D223" i="5" s="1"/>
  <c r="A224" i="5"/>
  <c r="C224" i="5"/>
  <c r="E224" i="5"/>
  <c r="D224" i="5" s="1"/>
  <c r="A225" i="5"/>
  <c r="C225" i="5"/>
  <c r="E225" i="5"/>
  <c r="D225" i="5" s="1"/>
  <c r="A226" i="5"/>
  <c r="C226" i="5"/>
  <c r="E226" i="5"/>
  <c r="D226" i="5" s="1"/>
  <c r="A227" i="5"/>
  <c r="C227" i="5"/>
  <c r="E227" i="5"/>
  <c r="D227" i="5" s="1"/>
  <c r="A228" i="5"/>
  <c r="C228" i="5"/>
  <c r="E228" i="5"/>
  <c r="D228" i="5" s="1"/>
  <c r="A229" i="5"/>
  <c r="C229" i="5"/>
  <c r="E229" i="5"/>
  <c r="D229" i="5" s="1"/>
  <c r="A230" i="5"/>
  <c r="C230" i="5"/>
  <c r="E230" i="5"/>
  <c r="D230" i="5" s="1"/>
  <c r="A231" i="5"/>
  <c r="C231" i="5"/>
  <c r="E231" i="5"/>
  <c r="D231" i="5" s="1"/>
  <c r="A232" i="5"/>
  <c r="C232" i="5"/>
  <c r="E232" i="5"/>
  <c r="D232" i="5" s="1"/>
  <c r="A233" i="5"/>
  <c r="C233" i="5"/>
  <c r="E233" i="5"/>
  <c r="D233" i="5" s="1"/>
  <c r="A234" i="5"/>
  <c r="C234" i="5"/>
  <c r="E234" i="5"/>
  <c r="D234" i="5" s="1"/>
  <c r="A235" i="5"/>
  <c r="C235" i="5"/>
  <c r="E235" i="5"/>
  <c r="D235" i="5" s="1"/>
  <c r="A236" i="5"/>
  <c r="C236" i="5"/>
  <c r="E236" i="5"/>
  <c r="D236" i="5" s="1"/>
  <c r="A237" i="5"/>
  <c r="C237" i="5"/>
  <c r="E237" i="5"/>
  <c r="D237" i="5" s="1"/>
  <c r="A238" i="5"/>
  <c r="C238" i="5"/>
  <c r="E238" i="5"/>
  <c r="D238" i="5" s="1"/>
  <c r="A239" i="5"/>
  <c r="C239" i="5"/>
  <c r="E239" i="5"/>
  <c r="D239" i="5" s="1"/>
  <c r="A240" i="5"/>
  <c r="E240" i="5"/>
  <c r="D240" i="5" s="1"/>
  <c r="A241" i="5"/>
  <c r="C241" i="5"/>
  <c r="E241" i="5"/>
  <c r="D241" i="5" s="1"/>
  <c r="A242" i="5"/>
  <c r="C242" i="5"/>
  <c r="E242" i="5"/>
  <c r="D242" i="5" s="1"/>
  <c r="A243" i="5"/>
  <c r="C243" i="5"/>
  <c r="E243" i="5"/>
  <c r="D243" i="5" s="1"/>
  <c r="A244" i="5"/>
  <c r="C244" i="5"/>
  <c r="E244" i="5"/>
  <c r="D244" i="5" s="1"/>
  <c r="A245" i="5"/>
  <c r="C245" i="5"/>
  <c r="E245" i="5"/>
  <c r="D245" i="5" s="1"/>
  <c r="A246" i="5"/>
  <c r="C246" i="5"/>
  <c r="E246" i="5"/>
  <c r="D246" i="5" s="1"/>
  <c r="A247" i="5"/>
  <c r="C247" i="5"/>
  <c r="E247" i="5"/>
  <c r="D247" i="5" s="1"/>
  <c r="A248" i="5"/>
  <c r="C248" i="5"/>
  <c r="E248" i="5"/>
  <c r="D248" i="5" s="1"/>
  <c r="A249" i="5"/>
  <c r="C249" i="5"/>
  <c r="E249" i="5"/>
  <c r="D249" i="5" s="1"/>
  <c r="A250" i="5"/>
  <c r="C250" i="5"/>
  <c r="E250" i="5"/>
  <c r="D250" i="5" s="1"/>
  <c r="A252" i="5"/>
  <c r="C252" i="5"/>
  <c r="E252" i="5"/>
  <c r="D252" i="5" s="1"/>
  <c r="A254" i="5"/>
  <c r="C254" i="5"/>
  <c r="E254" i="5"/>
  <c r="D254" i="5" s="1"/>
  <c r="A355" i="5"/>
  <c r="C355" i="5"/>
  <c r="E355" i="5"/>
  <c r="D355" i="5" s="1"/>
  <c r="A196" i="5"/>
  <c r="C196" i="5"/>
  <c r="E196" i="5"/>
  <c r="D196" i="5" s="1"/>
  <c r="A197" i="5"/>
  <c r="C197" i="5"/>
  <c r="E197" i="5"/>
  <c r="D197" i="5" s="1"/>
  <c r="A195" i="5"/>
  <c r="C195" i="5"/>
  <c r="E195" i="5"/>
  <c r="D195" i="5" s="1"/>
  <c r="A194" i="5"/>
  <c r="C194" i="5"/>
  <c r="E194" i="5"/>
  <c r="D194" i="5" s="1"/>
  <c r="AJ2" i="5"/>
  <c r="A188" i="5"/>
  <c r="C188" i="5"/>
  <c r="E188" i="5"/>
  <c r="D188" i="5" s="1"/>
  <c r="A350" i="5"/>
  <c r="C350" i="5"/>
  <c r="E350" i="5"/>
  <c r="D350" i="5" s="1"/>
  <c r="A347" i="5"/>
  <c r="C347" i="5"/>
  <c r="E347" i="5"/>
  <c r="D347" i="5" s="1"/>
  <c r="A141" i="5"/>
  <c r="C141" i="5"/>
  <c r="E141" i="5"/>
  <c r="D141" i="5" s="1"/>
  <c r="A108" i="5"/>
  <c r="C108" i="5"/>
  <c r="E108" i="5"/>
  <c r="D108" i="5" s="1"/>
  <c r="A85" i="5"/>
  <c r="C85" i="5"/>
  <c r="E85" i="5"/>
  <c r="D85" i="5" s="1"/>
  <c r="A184" i="5"/>
  <c r="C184" i="5"/>
  <c r="E184" i="5"/>
  <c r="D184" i="5" s="1"/>
  <c r="A292" i="5"/>
  <c r="C292" i="5"/>
  <c r="E292" i="5"/>
  <c r="D292" i="5" s="1"/>
  <c r="C270" i="5"/>
  <c r="A161" i="5"/>
  <c r="C161" i="5"/>
  <c r="E161" i="5"/>
  <c r="D161" i="5" s="1"/>
  <c r="A130" i="5"/>
  <c r="C130" i="5"/>
  <c r="E130" i="5"/>
  <c r="D130" i="5" s="1"/>
  <c r="A94" i="5"/>
  <c r="C94" i="5"/>
  <c r="E94" i="5"/>
  <c r="D94" i="5" s="1"/>
  <c r="A167" i="5"/>
  <c r="C167" i="5"/>
  <c r="E167" i="5"/>
  <c r="D167" i="5" s="1"/>
  <c r="A157" i="5"/>
  <c r="C157" i="5"/>
  <c r="E157" i="5"/>
  <c r="D157" i="5" s="1"/>
  <c r="A152" i="5"/>
  <c r="C152" i="5"/>
  <c r="E152" i="5"/>
  <c r="D152" i="5" s="1"/>
  <c r="S385" i="5"/>
  <c r="S2" i="5"/>
  <c r="A384" i="5"/>
  <c r="C384" i="5"/>
  <c r="E384" i="5"/>
  <c r="D384" i="5" s="1"/>
  <c r="AF2" i="5"/>
  <c r="A129" i="5"/>
  <c r="C129" i="5"/>
  <c r="E129" i="5"/>
  <c r="D129" i="5" s="1"/>
  <c r="C151" i="5"/>
  <c r="V2" i="5"/>
  <c r="A160" i="5"/>
  <c r="C160" i="5"/>
  <c r="E160" i="5"/>
  <c r="D160" i="5" s="1"/>
  <c r="A172" i="5"/>
  <c r="C172" i="5"/>
  <c r="E172" i="5"/>
  <c r="D172" i="5" s="1"/>
  <c r="A365" i="5"/>
  <c r="C365" i="5"/>
  <c r="E365" i="5"/>
  <c r="D365" i="5" s="1"/>
  <c r="A301" i="5"/>
  <c r="C301" i="5"/>
  <c r="E301" i="5"/>
  <c r="D301" i="5" s="1"/>
  <c r="A302" i="5"/>
  <c r="C302" i="5"/>
  <c r="E302" i="5"/>
  <c r="D302" i="5" s="1"/>
  <c r="C303" i="5"/>
  <c r="E303" i="5"/>
  <c r="D303" i="5" s="1"/>
  <c r="A306" i="5"/>
  <c r="C306" i="5"/>
  <c r="E306" i="5"/>
  <c r="D306" i="5" s="1"/>
  <c r="A307" i="5"/>
  <c r="C307" i="5"/>
  <c r="E307" i="5"/>
  <c r="D307" i="5" s="1"/>
  <c r="A308" i="5"/>
  <c r="C308" i="5"/>
  <c r="E308" i="5"/>
  <c r="D308" i="5" s="1"/>
  <c r="A309" i="5"/>
  <c r="C309" i="5"/>
  <c r="E309" i="5"/>
  <c r="D309" i="5" s="1"/>
  <c r="A310" i="5"/>
  <c r="C310" i="5"/>
  <c r="E310" i="5"/>
  <c r="D310" i="5" s="1"/>
  <c r="A311" i="5"/>
  <c r="C311" i="5"/>
  <c r="E311" i="5"/>
  <c r="D311" i="5" s="1"/>
  <c r="A312" i="5"/>
  <c r="C312" i="5"/>
  <c r="E312" i="5"/>
  <c r="D312" i="5" s="1"/>
  <c r="A313" i="5"/>
  <c r="C313" i="5"/>
  <c r="E313" i="5"/>
  <c r="D313" i="5" s="1"/>
  <c r="A314" i="5"/>
  <c r="C314" i="5"/>
  <c r="E314" i="5"/>
  <c r="D314" i="5" s="1"/>
  <c r="A315" i="5"/>
  <c r="C315" i="5"/>
  <c r="E315" i="5"/>
  <c r="D315" i="5" s="1"/>
  <c r="A316" i="5"/>
  <c r="C316" i="5"/>
  <c r="E316" i="5"/>
  <c r="D316" i="5" s="1"/>
  <c r="A317" i="5"/>
  <c r="C317" i="5"/>
  <c r="E317" i="5"/>
  <c r="D317" i="5" s="1"/>
  <c r="A319" i="5"/>
  <c r="C319" i="5"/>
  <c r="E319" i="5"/>
  <c r="D319" i="5" s="1"/>
  <c r="A320" i="5"/>
  <c r="C320" i="5"/>
  <c r="E320" i="5"/>
  <c r="D320" i="5" s="1"/>
  <c r="A321" i="5"/>
  <c r="C321" i="5"/>
  <c r="E321" i="5"/>
  <c r="D321" i="5" s="1"/>
  <c r="A322" i="5"/>
  <c r="C322" i="5"/>
  <c r="E322" i="5"/>
  <c r="D322" i="5" s="1"/>
  <c r="A324" i="5"/>
  <c r="C324" i="5"/>
  <c r="E324" i="5"/>
  <c r="D324" i="5" s="1"/>
  <c r="A325" i="5"/>
  <c r="C325" i="5"/>
  <c r="E325" i="5"/>
  <c r="D325" i="5" s="1"/>
  <c r="A326" i="5"/>
  <c r="C326" i="5"/>
  <c r="E326" i="5"/>
  <c r="D326" i="5" s="1"/>
  <c r="A327" i="5"/>
  <c r="C327" i="5"/>
  <c r="E327" i="5"/>
  <c r="D327" i="5" s="1"/>
  <c r="A328" i="5"/>
  <c r="C328" i="5"/>
  <c r="E328" i="5"/>
  <c r="D328" i="5" s="1"/>
  <c r="A329" i="5"/>
  <c r="C329" i="5"/>
  <c r="E329" i="5"/>
  <c r="D329" i="5" s="1"/>
  <c r="A330" i="5"/>
  <c r="C330" i="5"/>
  <c r="E330" i="5"/>
  <c r="D330" i="5" s="1"/>
  <c r="A331" i="5"/>
  <c r="C331" i="5"/>
  <c r="E331" i="5"/>
  <c r="D331" i="5" s="1"/>
  <c r="A332" i="5"/>
  <c r="C332" i="5"/>
  <c r="E332" i="5"/>
  <c r="D332" i="5" s="1"/>
  <c r="A333" i="5"/>
  <c r="C333" i="5"/>
  <c r="E333" i="5"/>
  <c r="D333" i="5" s="1"/>
  <c r="A334" i="5"/>
  <c r="C334" i="5"/>
  <c r="E334" i="5"/>
  <c r="D334" i="5" s="1"/>
  <c r="A335" i="5"/>
  <c r="C335" i="5"/>
  <c r="E335" i="5"/>
  <c r="D335" i="5" s="1"/>
  <c r="A336" i="5"/>
  <c r="C336" i="5"/>
  <c r="E336" i="5"/>
  <c r="D336" i="5" s="1"/>
  <c r="A337" i="5"/>
  <c r="C337" i="5"/>
  <c r="E337" i="5"/>
  <c r="D337" i="5" s="1"/>
  <c r="A338" i="5"/>
  <c r="C338" i="5"/>
  <c r="E338" i="5"/>
  <c r="D338" i="5" s="1"/>
  <c r="A340" i="5"/>
  <c r="C340" i="5"/>
  <c r="E340" i="5"/>
  <c r="D340" i="5" s="1"/>
  <c r="A341" i="5"/>
  <c r="C341" i="5"/>
  <c r="E341" i="5"/>
  <c r="D341" i="5" s="1"/>
  <c r="A342" i="5"/>
  <c r="C342" i="5"/>
  <c r="E342" i="5"/>
  <c r="D342" i="5" s="1"/>
  <c r="A343" i="5"/>
  <c r="C343" i="5"/>
  <c r="E343" i="5"/>
  <c r="D343" i="5" s="1"/>
  <c r="A345" i="5"/>
  <c r="C345" i="5"/>
  <c r="E345" i="5"/>
  <c r="D345" i="5" s="1"/>
  <c r="A346" i="5"/>
  <c r="C346" i="5"/>
  <c r="E346" i="5"/>
  <c r="D346" i="5" s="1"/>
  <c r="A348" i="5"/>
  <c r="C348" i="5"/>
  <c r="E348" i="5"/>
  <c r="D348" i="5" s="1"/>
  <c r="A349" i="5"/>
  <c r="C349" i="5"/>
  <c r="E349" i="5"/>
  <c r="D349" i="5" s="1"/>
  <c r="A351" i="5"/>
  <c r="C351" i="5"/>
  <c r="E351" i="5"/>
  <c r="D351" i="5" s="1"/>
  <c r="A352" i="5"/>
  <c r="C352" i="5"/>
  <c r="E352" i="5"/>
  <c r="D352" i="5" s="1"/>
  <c r="A353" i="5"/>
  <c r="C353" i="5"/>
  <c r="E353" i="5"/>
  <c r="D353" i="5" s="1"/>
  <c r="A356" i="5"/>
  <c r="C356" i="5"/>
  <c r="E356" i="5"/>
  <c r="D356" i="5" s="1"/>
  <c r="A357" i="5"/>
  <c r="C357" i="5"/>
  <c r="E357" i="5"/>
  <c r="D357" i="5" s="1"/>
  <c r="A358" i="5"/>
  <c r="C358" i="5"/>
  <c r="E358" i="5"/>
  <c r="D358" i="5" s="1"/>
  <c r="A359" i="5"/>
  <c r="C359" i="5"/>
  <c r="E359" i="5"/>
  <c r="D359" i="5" s="1"/>
  <c r="A360" i="5"/>
  <c r="C360" i="5"/>
  <c r="E360" i="5"/>
  <c r="D360" i="5" s="1"/>
  <c r="A361" i="5"/>
  <c r="C361" i="5"/>
  <c r="E361" i="5"/>
  <c r="D361" i="5" s="1"/>
  <c r="A362" i="5"/>
  <c r="C362" i="5"/>
  <c r="E362" i="5"/>
  <c r="D362" i="5" s="1"/>
  <c r="A363" i="5"/>
  <c r="C363" i="5"/>
  <c r="E363" i="5"/>
  <c r="D363" i="5" s="1"/>
  <c r="A364" i="5"/>
  <c r="C364" i="5"/>
  <c r="E364" i="5"/>
  <c r="D364" i="5" s="1"/>
  <c r="A84" i="5"/>
  <c r="C84" i="5"/>
  <c r="E84" i="5"/>
  <c r="D84" i="5" s="1"/>
  <c r="A83" i="5"/>
  <c r="C83" i="5"/>
  <c r="E83" i="5"/>
  <c r="D83" i="5" s="1"/>
  <c r="A270" i="5"/>
  <c r="E270" i="5"/>
  <c r="D270" i="5" s="1"/>
  <c r="A378" i="5"/>
  <c r="C378" i="5"/>
  <c r="E378" i="5"/>
  <c r="D378" i="5" s="1"/>
  <c r="A379" i="5"/>
  <c r="C379" i="5"/>
  <c r="E379" i="5"/>
  <c r="D379" i="5" s="1"/>
  <c r="A380" i="5"/>
  <c r="C380" i="5"/>
  <c r="E380" i="5"/>
  <c r="D380" i="5" s="1"/>
  <c r="A383" i="5"/>
  <c r="C383" i="5"/>
  <c r="E383" i="5"/>
  <c r="D383" i="5" s="1"/>
  <c r="A191" i="5"/>
  <c r="C191" i="5"/>
  <c r="E191" i="5"/>
  <c r="D191" i="5" s="1"/>
  <c r="A192" i="5"/>
  <c r="C192" i="5"/>
  <c r="E192" i="5"/>
  <c r="D192" i="5" s="1"/>
  <c r="A110" i="5"/>
  <c r="C110" i="5"/>
  <c r="E110" i="5"/>
  <c r="D110" i="5" s="1"/>
  <c r="AC2" i="5"/>
  <c r="A193" i="5"/>
  <c r="C193" i="5"/>
  <c r="E193" i="5"/>
  <c r="D193" i="5" s="1"/>
  <c r="C128" i="5"/>
  <c r="P2" i="5"/>
  <c r="Q2" i="5"/>
  <c r="A107" i="5"/>
  <c r="C107" i="5"/>
  <c r="E107" i="5"/>
  <c r="D107" i="5" s="1"/>
  <c r="A112" i="5"/>
  <c r="C112" i="5"/>
  <c r="E112" i="5"/>
  <c r="D112" i="5" s="1"/>
  <c r="A288" i="5"/>
  <c r="C288" i="5"/>
  <c r="E288" i="5"/>
  <c r="D288" i="5" s="1"/>
  <c r="A289" i="5"/>
  <c r="C289" i="5"/>
  <c r="E289" i="5"/>
  <c r="D289" i="5" s="1"/>
  <c r="Z2" i="5"/>
  <c r="AA2" i="5"/>
  <c r="AB2" i="5"/>
  <c r="AD2" i="5"/>
  <c r="AE2" i="5"/>
  <c r="F2" i="5"/>
  <c r="G2" i="5"/>
  <c r="H2" i="5"/>
  <c r="I2" i="5"/>
  <c r="J2" i="5"/>
  <c r="K2" i="5"/>
  <c r="L2" i="5"/>
  <c r="M2" i="5"/>
  <c r="N2" i="5"/>
  <c r="O2" i="5"/>
  <c r="R2" i="5"/>
  <c r="U2" i="5"/>
  <c r="W2" i="5"/>
  <c r="X2" i="5"/>
  <c r="Y2" i="5"/>
  <c r="G385" i="5"/>
  <c r="H385" i="5"/>
  <c r="I385" i="5"/>
  <c r="J385" i="5"/>
  <c r="K385" i="5"/>
  <c r="L385" i="5"/>
  <c r="M385" i="5"/>
  <c r="N385" i="5"/>
  <c r="O385" i="5"/>
  <c r="R385" i="5"/>
  <c r="U385" i="5"/>
  <c r="W385" i="5"/>
  <c r="X385" i="5"/>
  <c r="Y385" i="5"/>
  <c r="Z385" i="5"/>
  <c r="AA385" i="5"/>
  <c r="AB385" i="5"/>
  <c r="AD385" i="5"/>
  <c r="AE385" i="5"/>
  <c r="A133" i="5"/>
  <c r="C133" i="5"/>
  <c r="C190" i="5"/>
  <c r="A190" i="5"/>
  <c r="E190" i="5"/>
  <c r="D190" i="5" s="1"/>
  <c r="A201" i="5"/>
  <c r="C201" i="5"/>
  <c r="E201" i="5"/>
  <c r="D201" i="5" s="1"/>
  <c r="F385" i="5"/>
  <c r="A267" i="5"/>
  <c r="C267" i="5"/>
  <c r="E267" i="5"/>
  <c r="D267" i="5" s="1"/>
  <c r="A261" i="5"/>
  <c r="C261" i="5"/>
  <c r="E261" i="5"/>
  <c r="D261" i="5" s="1"/>
  <c r="A375" i="5"/>
  <c r="C375" i="5"/>
  <c r="E375" i="5"/>
  <c r="D375" i="5" s="1"/>
  <c r="A377" i="5"/>
  <c r="C377" i="5"/>
  <c r="E377" i="5"/>
  <c r="D377" i="5" s="1"/>
  <c r="A373" i="5"/>
  <c r="C373" i="5"/>
  <c r="E373" i="5"/>
  <c r="D373" i="5" s="1"/>
  <c r="A374" i="5"/>
  <c r="C374" i="5"/>
  <c r="E374" i="5"/>
  <c r="D374" i="5" s="1"/>
  <c r="A371" i="5"/>
  <c r="C371" i="5"/>
  <c r="E371" i="5"/>
  <c r="D371" i="5" s="1"/>
  <c r="A372" i="5"/>
  <c r="C372" i="5"/>
  <c r="E372" i="5"/>
  <c r="D372" i="5" s="1"/>
  <c r="A368" i="5"/>
  <c r="A369" i="5"/>
  <c r="A370" i="5"/>
  <c r="A367" i="5"/>
  <c r="C368" i="5"/>
  <c r="E368" i="5"/>
  <c r="D368" i="5" s="1"/>
  <c r="C369" i="5"/>
  <c r="E369" i="5"/>
  <c r="D369" i="5" s="1"/>
  <c r="C370" i="5"/>
  <c r="E370" i="5"/>
  <c r="D370" i="5" s="1"/>
  <c r="C367" i="5"/>
  <c r="E367" i="5"/>
  <c r="D367" i="5" s="1"/>
  <c r="A287" i="5"/>
  <c r="C287" i="5"/>
  <c r="E287" i="5"/>
  <c r="D287" i="5" s="1"/>
  <c r="A274" i="5"/>
  <c r="C274" i="5"/>
  <c r="E274" i="5"/>
  <c r="D274" i="5" s="1"/>
  <c r="A275" i="5"/>
  <c r="C275" i="5"/>
  <c r="E275" i="5"/>
  <c r="D275" i="5" s="1"/>
  <c r="A276" i="5"/>
  <c r="C276" i="5"/>
  <c r="E276" i="5"/>
  <c r="D276" i="5" s="1"/>
  <c r="A277" i="5"/>
  <c r="C277" i="5"/>
  <c r="E277" i="5"/>
  <c r="D277" i="5" s="1"/>
  <c r="A263" i="5"/>
  <c r="C263" i="5"/>
  <c r="E263" i="5"/>
  <c r="D263" i="5" s="1"/>
  <c r="C118" i="5"/>
  <c r="A14" i="5"/>
  <c r="C14" i="5"/>
  <c r="E14" i="5"/>
  <c r="D14" i="5" s="1"/>
  <c r="E72" i="5"/>
  <c r="D72" i="5" s="1"/>
  <c r="E73" i="5"/>
  <c r="D73" i="5" s="1"/>
  <c r="E74" i="5"/>
  <c r="D74" i="5" s="1"/>
  <c r="E75" i="5"/>
  <c r="D75" i="5" s="1"/>
  <c r="E76" i="5"/>
  <c r="D76" i="5" s="1"/>
  <c r="E77" i="5"/>
  <c r="D77" i="5" s="1"/>
  <c r="E78" i="5"/>
  <c r="D78" i="5" s="1"/>
  <c r="E79" i="5"/>
  <c r="D79" i="5" s="1"/>
  <c r="E80" i="5"/>
  <c r="D80" i="5" s="1"/>
  <c r="E81" i="5"/>
  <c r="D81" i="5" s="1"/>
  <c r="E82" i="5"/>
  <c r="D82" i="5" s="1"/>
  <c r="E87" i="5"/>
  <c r="D87" i="5" s="1"/>
  <c r="E88" i="5"/>
  <c r="D88" i="5" s="1"/>
  <c r="E89" i="5"/>
  <c r="D89" i="5" s="1"/>
  <c r="E90" i="5"/>
  <c r="D90" i="5" s="1"/>
  <c r="E91" i="5"/>
  <c r="D91" i="5" s="1"/>
  <c r="E95" i="5"/>
  <c r="D95" i="5" s="1"/>
  <c r="E97" i="5"/>
  <c r="D97" i="5" s="1"/>
  <c r="E98" i="5"/>
  <c r="D98" i="5" s="1"/>
  <c r="E99" i="5"/>
  <c r="D99" i="5" s="1"/>
  <c r="E100" i="5"/>
  <c r="D100" i="5" s="1"/>
  <c r="E101" i="5"/>
  <c r="D101" i="5" s="1"/>
  <c r="E102" i="5"/>
  <c r="D102" i="5" s="1"/>
  <c r="E103" i="5"/>
  <c r="D103" i="5" s="1"/>
  <c r="E106" i="5"/>
  <c r="D106" i="5" s="1"/>
  <c r="E113" i="5"/>
  <c r="D113" i="5" s="1"/>
  <c r="E114" i="5"/>
  <c r="D114" i="5" s="1"/>
  <c r="E115" i="5"/>
  <c r="D115" i="5" s="1"/>
  <c r="E116" i="5"/>
  <c r="D116" i="5" s="1"/>
  <c r="E117" i="5"/>
  <c r="D117" i="5" s="1"/>
  <c r="E118" i="5"/>
  <c r="D118" i="5" s="1"/>
  <c r="E133" i="5"/>
  <c r="D133" i="5" s="1"/>
  <c r="E134" i="5"/>
  <c r="D134" i="5" s="1"/>
  <c r="E120" i="5"/>
  <c r="E135" i="5"/>
  <c r="D135" i="5" s="1"/>
  <c r="E136" i="5"/>
  <c r="D136" i="5" s="1"/>
  <c r="E137" i="5"/>
  <c r="D137" i="5" s="1"/>
  <c r="E138" i="5"/>
  <c r="D138" i="5" s="1"/>
  <c r="E139" i="5"/>
  <c r="D139" i="5" s="1"/>
  <c r="E140" i="5"/>
  <c r="D140" i="5" s="1"/>
  <c r="E142" i="5"/>
  <c r="D142" i="5" s="1"/>
  <c r="E143" i="5"/>
  <c r="D143" i="5" s="1"/>
  <c r="E144" i="5"/>
  <c r="D144" i="5" s="1"/>
  <c r="E145" i="5"/>
  <c r="D145" i="5" s="1"/>
  <c r="E146" i="5"/>
  <c r="D146" i="5" s="1"/>
  <c r="E147" i="5"/>
  <c r="D147" i="5" s="1"/>
  <c r="E148" i="5"/>
  <c r="D148" i="5" s="1"/>
  <c r="E149" i="5"/>
  <c r="D149" i="5" s="1"/>
  <c r="E150" i="5"/>
  <c r="D150" i="5" s="1"/>
  <c r="E151" i="5"/>
  <c r="D151" i="5" s="1"/>
  <c r="E154" i="5"/>
  <c r="D154" i="5" s="1"/>
  <c r="E155" i="5"/>
  <c r="D155" i="5" s="1"/>
  <c r="E156" i="5"/>
  <c r="D156" i="5" s="1"/>
  <c r="E158" i="5"/>
  <c r="D158" i="5" s="1"/>
  <c r="E159" i="5"/>
  <c r="D159" i="5" s="1"/>
  <c r="E121" i="5"/>
  <c r="D121" i="5" s="1"/>
  <c r="E122" i="5"/>
  <c r="D122" i="5" s="1"/>
  <c r="E162" i="5"/>
  <c r="D162" i="5" s="1"/>
  <c r="E163" i="5"/>
  <c r="D163" i="5" s="1"/>
  <c r="E164" i="5"/>
  <c r="D164" i="5" s="1"/>
  <c r="E165" i="5"/>
  <c r="D165" i="5" s="1"/>
  <c r="E166" i="5"/>
  <c r="D166" i="5" s="1"/>
  <c r="E169" i="5"/>
  <c r="D169" i="5" s="1"/>
  <c r="E170" i="5"/>
  <c r="D170" i="5" s="1"/>
  <c r="E175" i="5"/>
  <c r="D175" i="5" s="1"/>
  <c r="E123" i="5"/>
  <c r="D123" i="5" s="1"/>
  <c r="E176" i="5"/>
  <c r="D176" i="5" s="1"/>
  <c r="E177" i="5"/>
  <c r="D177" i="5" s="1"/>
  <c r="E178" i="5"/>
  <c r="D178" i="5" s="1"/>
  <c r="E124" i="5"/>
  <c r="D124" i="5" s="1"/>
  <c r="E125" i="5"/>
  <c r="D125" i="5" s="1"/>
  <c r="E126" i="5"/>
  <c r="D126" i="5" s="1"/>
  <c r="E179" i="5"/>
  <c r="D179" i="5" s="1"/>
  <c r="E180" i="5"/>
  <c r="D180" i="5" s="1"/>
  <c r="E181" i="5"/>
  <c r="D181" i="5" s="1"/>
  <c r="E182" i="5"/>
  <c r="D182" i="5" s="1"/>
  <c r="E127" i="5"/>
  <c r="D127" i="5" s="1"/>
  <c r="E183" i="5"/>
  <c r="D183" i="5" s="1"/>
  <c r="E128" i="5"/>
  <c r="D128" i="5" s="1"/>
  <c r="E198" i="5"/>
  <c r="D198" i="5" s="1"/>
  <c r="E202" i="5"/>
  <c r="D202" i="5" s="1"/>
  <c r="E203" i="5"/>
  <c r="D203" i="5" s="1"/>
  <c r="E204" i="5"/>
  <c r="D204" i="5" s="1"/>
  <c r="E208" i="5"/>
  <c r="E256" i="5"/>
  <c r="E262" i="5"/>
  <c r="D262" i="5" s="1"/>
  <c r="E264" i="5"/>
  <c r="D264" i="5" s="1"/>
  <c r="E265" i="5"/>
  <c r="D265" i="5" s="1"/>
  <c r="E271" i="5"/>
  <c r="D271" i="5" s="1"/>
  <c r="E272" i="5"/>
  <c r="D272" i="5" s="1"/>
  <c r="E273" i="5"/>
  <c r="D273" i="5" s="1"/>
  <c r="E281" i="5"/>
  <c r="D281" i="5" s="1"/>
  <c r="E285" i="5"/>
  <c r="D285" i="5" s="1"/>
  <c r="E290" i="5"/>
  <c r="D290" i="5" s="1"/>
  <c r="E291" i="5"/>
  <c r="D291" i="5" s="1"/>
  <c r="E293" i="5"/>
  <c r="D293" i="5" s="1"/>
  <c r="E294" i="5"/>
  <c r="D294" i="5" s="1"/>
  <c r="E295" i="5"/>
  <c r="D295" i="5" s="1"/>
  <c r="E296" i="5"/>
  <c r="D296" i="5" s="1"/>
  <c r="E300" i="5"/>
  <c r="D300" i="5" s="1"/>
  <c r="E5" i="5"/>
  <c r="D5" i="5" s="1"/>
  <c r="E6" i="5"/>
  <c r="D6" i="5" s="1"/>
  <c r="E7" i="5"/>
  <c r="D7" i="5" s="1"/>
  <c r="E8" i="5"/>
  <c r="D8" i="5" s="1"/>
  <c r="E9" i="5"/>
  <c r="D9" i="5" s="1"/>
  <c r="E10" i="5"/>
  <c r="D10" i="5" s="1"/>
  <c r="E11" i="5"/>
  <c r="D11" i="5" s="1"/>
  <c r="E12" i="5"/>
  <c r="D12" i="5" s="1"/>
  <c r="E4" i="5"/>
  <c r="D4" i="5" s="1"/>
  <c r="B2" i="4"/>
  <c r="A204" i="5"/>
  <c r="C204" i="5"/>
  <c r="A134" i="5"/>
  <c r="C134" i="5"/>
  <c r="A121" i="5"/>
  <c r="C121" i="5"/>
  <c r="A81" i="5"/>
  <c r="C81" i="5"/>
  <c r="I2" i="1"/>
  <c r="C127" i="5"/>
  <c r="I53" i="4"/>
  <c r="P2" i="1"/>
  <c r="A281" i="5"/>
  <c r="C281" i="5"/>
  <c r="A256" i="5"/>
  <c r="C256" i="5"/>
  <c r="A99" i="5"/>
  <c r="C99" i="5"/>
  <c r="A79" i="5"/>
  <c r="C79" i="5"/>
  <c r="A273" i="5"/>
  <c r="C273" i="5"/>
  <c r="I2" i="4"/>
  <c r="A282" i="5"/>
  <c r="C282" i="5"/>
  <c r="A106" i="5"/>
  <c r="C106" i="5"/>
  <c r="A115" i="5"/>
  <c r="C115" i="5"/>
  <c r="C95" i="5"/>
  <c r="A294" i="5"/>
  <c r="C294" i="5"/>
  <c r="A198" i="5"/>
  <c r="C198" i="5"/>
  <c r="A296" i="5"/>
  <c r="C296" i="5"/>
  <c r="A128" i="5"/>
  <c r="A295" i="5"/>
  <c r="C295" i="5"/>
  <c r="A300" i="5"/>
  <c r="C300" i="5"/>
  <c r="A147" i="5"/>
  <c r="C147" i="5"/>
  <c r="B14" i="1"/>
  <c r="P11" i="4"/>
  <c r="P2" i="4"/>
  <c r="A117" i="5"/>
  <c r="C117" i="5"/>
  <c r="C116" i="5"/>
  <c r="A116" i="5"/>
  <c r="D256" i="5" l="1"/>
  <c r="A262" i="5"/>
  <c r="A264" i="5"/>
  <c r="A265" i="5"/>
  <c r="A271" i="5"/>
  <c r="A272" i="5"/>
  <c r="A285" i="5"/>
  <c r="A290" i="5"/>
  <c r="A291" i="5"/>
  <c r="A293" i="5"/>
  <c r="C262" i="5"/>
  <c r="C264" i="5"/>
  <c r="C265" i="5"/>
  <c r="C271" i="5"/>
  <c r="C272" i="5"/>
  <c r="C285" i="5"/>
  <c r="C290" i="5"/>
  <c r="C291" i="5"/>
  <c r="C293" i="5"/>
  <c r="C208" i="5"/>
  <c r="A208" i="5"/>
  <c r="A135" i="5"/>
  <c r="C135" i="5"/>
  <c r="A136" i="5"/>
  <c r="C136" i="5"/>
  <c r="A137" i="5"/>
  <c r="C137" i="5"/>
  <c r="A138" i="5"/>
  <c r="C138" i="5"/>
  <c r="A139" i="5"/>
  <c r="C139" i="5"/>
  <c r="A140" i="5"/>
  <c r="C140" i="5"/>
  <c r="A142" i="5"/>
  <c r="C142" i="5"/>
  <c r="A143" i="5"/>
  <c r="C143" i="5"/>
  <c r="A144" i="5"/>
  <c r="C144" i="5"/>
  <c r="A145" i="5"/>
  <c r="C145" i="5"/>
  <c r="A146" i="5"/>
  <c r="C146" i="5"/>
  <c r="A148" i="5"/>
  <c r="C148" i="5"/>
  <c r="A149" i="5"/>
  <c r="C149" i="5"/>
  <c r="A150" i="5"/>
  <c r="C150" i="5"/>
  <c r="A151" i="5"/>
  <c r="A154" i="5"/>
  <c r="C154" i="5"/>
  <c r="A155" i="5"/>
  <c r="C155" i="5"/>
  <c r="A156" i="5"/>
  <c r="C156" i="5"/>
  <c r="A158" i="5"/>
  <c r="C158" i="5"/>
  <c r="A159" i="5"/>
  <c r="C159" i="5"/>
  <c r="A122" i="5"/>
  <c r="C122" i="5"/>
  <c r="A162" i="5"/>
  <c r="C162" i="5"/>
  <c r="A163" i="5"/>
  <c r="C163" i="5"/>
  <c r="A164" i="5"/>
  <c r="C164" i="5"/>
  <c r="A165" i="5"/>
  <c r="C165" i="5"/>
  <c r="A166" i="5"/>
  <c r="C166" i="5"/>
  <c r="A169" i="5"/>
  <c r="C169" i="5"/>
  <c r="A170" i="5"/>
  <c r="C170" i="5"/>
  <c r="A175" i="5"/>
  <c r="C175" i="5"/>
  <c r="A123" i="5"/>
  <c r="C123" i="5"/>
  <c r="A176" i="5"/>
  <c r="C176" i="5"/>
  <c r="A177" i="5"/>
  <c r="C177" i="5"/>
  <c r="A178" i="5"/>
  <c r="C178" i="5"/>
  <c r="A124" i="5"/>
  <c r="C124" i="5"/>
  <c r="A125" i="5"/>
  <c r="C125" i="5"/>
  <c r="A126" i="5"/>
  <c r="C126" i="5"/>
  <c r="A179" i="5"/>
  <c r="C179" i="5"/>
  <c r="A180" i="5"/>
  <c r="A181" i="5"/>
  <c r="C181" i="5"/>
  <c r="A182" i="5"/>
  <c r="C182" i="5"/>
  <c r="A127" i="5"/>
  <c r="A183" i="5"/>
  <c r="C183" i="5"/>
  <c r="A202" i="5"/>
  <c r="C202" i="5"/>
  <c r="A203" i="5"/>
  <c r="C203" i="5"/>
  <c r="C120" i="5"/>
  <c r="A120" i="5"/>
  <c r="A114" i="5"/>
  <c r="C114" i="5"/>
  <c r="A118" i="5"/>
  <c r="C113" i="5"/>
  <c r="A113" i="5"/>
  <c r="A73" i="5"/>
  <c r="C73" i="5"/>
  <c r="A74" i="5"/>
  <c r="C74" i="5"/>
  <c r="A75" i="5"/>
  <c r="C75" i="5"/>
  <c r="A76" i="5"/>
  <c r="C76" i="5"/>
  <c r="A77" i="5"/>
  <c r="C77" i="5"/>
  <c r="A78" i="5"/>
  <c r="C78" i="5"/>
  <c r="A80" i="5"/>
  <c r="C80" i="5"/>
  <c r="A82" i="5"/>
  <c r="C82" i="5"/>
  <c r="A87" i="5"/>
  <c r="C87" i="5"/>
  <c r="A88" i="5"/>
  <c r="C88" i="5"/>
  <c r="A89" i="5"/>
  <c r="A90" i="5"/>
  <c r="C90" i="5"/>
  <c r="A91" i="5"/>
  <c r="C91" i="5"/>
  <c r="A95" i="5"/>
  <c r="A97" i="5"/>
  <c r="C97" i="5"/>
  <c r="A98" i="5"/>
  <c r="C98" i="5"/>
  <c r="A100" i="5"/>
  <c r="C100" i="5"/>
  <c r="A101" i="5"/>
  <c r="C101" i="5"/>
  <c r="A102" i="5"/>
  <c r="C102" i="5"/>
  <c r="A103" i="5"/>
  <c r="C103" i="5"/>
  <c r="C72" i="5"/>
  <c r="A72" i="5"/>
  <c r="C5" i="5"/>
  <c r="C6" i="5"/>
  <c r="C7" i="5"/>
  <c r="C8" i="5"/>
  <c r="C9" i="5"/>
  <c r="C10" i="5"/>
  <c r="C11" i="5"/>
  <c r="C12" i="5"/>
  <c r="A5" i="5"/>
  <c r="A6" i="5"/>
  <c r="A7" i="5"/>
  <c r="A8" i="5"/>
  <c r="A9" i="5"/>
  <c r="A10" i="5"/>
  <c r="A11" i="5"/>
  <c r="A12" i="5"/>
  <c r="C4" i="5"/>
  <c r="L47" i="4" s="1"/>
  <c r="A4" i="5"/>
  <c r="S4" i="1" l="1"/>
  <c r="E60" i="1"/>
  <c r="L40" i="1"/>
  <c r="L77" i="4"/>
  <c r="E19" i="1"/>
  <c r="E30" i="1"/>
  <c r="E57" i="1"/>
  <c r="L64" i="4"/>
  <c r="L55" i="4"/>
  <c r="L56" i="4"/>
  <c r="L57" i="4"/>
  <c r="L58" i="4"/>
  <c r="E83" i="4"/>
  <c r="E56" i="1"/>
  <c r="E67" i="1"/>
  <c r="L67" i="4"/>
  <c r="S9" i="1"/>
  <c r="S10" i="1"/>
  <c r="E17" i="1"/>
  <c r="L36" i="1"/>
  <c r="S8" i="4"/>
  <c r="E18" i="1"/>
  <c r="E69" i="4"/>
  <c r="S7" i="4"/>
  <c r="E70" i="4"/>
  <c r="E11" i="6"/>
  <c r="E14" i="4"/>
  <c r="E88" i="4"/>
  <c r="E89" i="4"/>
  <c r="E42" i="1"/>
  <c r="E68" i="1"/>
  <c r="L17" i="1"/>
  <c r="S5" i="4"/>
  <c r="L78" i="4"/>
  <c r="E36" i="4"/>
  <c r="L81" i="4"/>
  <c r="E54" i="4"/>
  <c r="E40" i="1"/>
  <c r="E55" i="1"/>
  <c r="E51" i="4"/>
  <c r="E53" i="1"/>
  <c r="E59" i="1"/>
  <c r="E16" i="1"/>
  <c r="E61" i="1"/>
  <c r="E68" i="4"/>
  <c r="S49" i="1"/>
  <c r="S23" i="1"/>
  <c r="E72" i="4"/>
  <c r="S3" i="1"/>
  <c r="S59" i="1"/>
  <c r="L76" i="4"/>
  <c r="L49" i="4"/>
  <c r="E66" i="1"/>
  <c r="E69" i="1"/>
  <c r="E41" i="1"/>
  <c r="E82" i="4"/>
  <c r="E57" i="4"/>
  <c r="E56" i="4"/>
  <c r="L35" i="1"/>
  <c r="E15" i="4"/>
  <c r="L23" i="1"/>
  <c r="L82" i="4"/>
  <c r="L27" i="1"/>
  <c r="E17" i="6"/>
  <c r="S44" i="1"/>
  <c r="S60" i="1"/>
  <c r="L36" i="4"/>
  <c r="E79" i="4"/>
  <c r="S28" i="1"/>
  <c r="E78" i="4"/>
  <c r="E71" i="4"/>
  <c r="E24" i="4"/>
  <c r="E54" i="1"/>
  <c r="S52" i="1"/>
  <c r="L39" i="1"/>
  <c r="S55" i="1"/>
  <c r="E67" i="4"/>
  <c r="L16" i="1"/>
  <c r="L48" i="4"/>
  <c r="L90" i="4"/>
  <c r="E44" i="4"/>
  <c r="L17" i="4"/>
  <c r="L25" i="1"/>
  <c r="E13" i="4"/>
  <c r="E64" i="1"/>
  <c r="E50" i="4"/>
  <c r="E35" i="4"/>
  <c r="E40" i="4"/>
  <c r="E77" i="4"/>
  <c r="E19" i="6"/>
  <c r="E58" i="1"/>
  <c r="E11" i="4"/>
  <c r="E12" i="4"/>
  <c r="S6" i="4"/>
  <c r="E43" i="4"/>
  <c r="S63" i="1"/>
  <c r="E55" i="4"/>
  <c r="E53" i="4"/>
  <c r="L14" i="1"/>
  <c r="E80" i="4"/>
  <c r="L15" i="1"/>
  <c r="L68" i="4"/>
  <c r="S16" i="1"/>
  <c r="S17" i="1"/>
  <c r="E13" i="6"/>
  <c r="E14" i="6"/>
  <c r="E15" i="6"/>
  <c r="E18" i="6"/>
  <c r="L3" i="4"/>
  <c r="L41" i="1"/>
  <c r="E74" i="4"/>
  <c r="E75" i="4"/>
  <c r="E76" i="4"/>
  <c r="E65" i="1"/>
  <c r="S30" i="1"/>
  <c r="E39" i="1"/>
  <c r="S57" i="1"/>
  <c r="L38" i="1"/>
  <c r="S61" i="1"/>
  <c r="L45" i="1"/>
  <c r="L87" i="4"/>
  <c r="L86" i="4"/>
  <c r="E84" i="4"/>
  <c r="E73" i="4"/>
  <c r="S39" i="1"/>
  <c r="L65" i="4"/>
  <c r="S38" i="1"/>
  <c r="L59" i="4"/>
  <c r="E12" i="6"/>
  <c r="E10" i="6"/>
  <c r="E8" i="6"/>
  <c r="E9" i="6"/>
  <c r="E5" i="6"/>
  <c r="E4" i="6"/>
  <c r="E3" i="6"/>
  <c r="E2" i="6"/>
  <c r="E6" i="6"/>
  <c r="E7" i="6"/>
  <c r="S58" i="1"/>
  <c r="L85" i="4"/>
  <c r="S14" i="1"/>
  <c r="S15" i="1"/>
  <c r="L66" i="4"/>
  <c r="L75" i="4"/>
  <c r="L73" i="4"/>
  <c r="L61" i="4"/>
  <c r="E15" i="1"/>
  <c r="S68" i="1"/>
  <c r="L74" i="4"/>
  <c r="E17" i="4"/>
  <c r="E33" i="1"/>
  <c r="E28" i="4"/>
  <c r="L28" i="4"/>
  <c r="S48" i="1"/>
  <c r="L31" i="1"/>
  <c r="E48" i="4"/>
  <c r="L29" i="4"/>
  <c r="S11" i="1"/>
  <c r="S56" i="1"/>
  <c r="S6" i="1"/>
  <c r="E51" i="1"/>
  <c r="L21" i="1"/>
  <c r="L10" i="1"/>
  <c r="L33" i="1"/>
  <c r="S13" i="1"/>
  <c r="S36" i="1"/>
  <c r="S64" i="1"/>
  <c r="S65" i="1"/>
  <c r="L49" i="1"/>
  <c r="S5" i="1"/>
  <c r="E20" i="1"/>
  <c r="E37" i="1"/>
  <c r="L3" i="1"/>
  <c r="L24" i="1"/>
  <c r="E32" i="4"/>
  <c r="E81" i="4"/>
  <c r="L15" i="4"/>
  <c r="L32" i="4"/>
  <c r="L54" i="4"/>
  <c r="S27" i="1"/>
  <c r="S54" i="1"/>
  <c r="E25" i="1"/>
  <c r="E46" i="1"/>
  <c r="L8" i="1"/>
  <c r="L37" i="1"/>
  <c r="E33" i="4"/>
  <c r="E58" i="4"/>
  <c r="E85" i="4"/>
  <c r="L16" i="4"/>
  <c r="L33" i="4"/>
  <c r="L60" i="4"/>
  <c r="S19" i="1"/>
  <c r="S40" i="1"/>
  <c r="S66" i="1"/>
  <c r="L9" i="1"/>
  <c r="E8" i="1"/>
  <c r="E35" i="1"/>
  <c r="E70" i="1"/>
  <c r="L28" i="1"/>
  <c r="E48" i="1"/>
  <c r="L18" i="1"/>
  <c r="L47" i="1"/>
  <c r="S21" i="1"/>
  <c r="S42" i="1"/>
  <c r="S31" i="1"/>
  <c r="S51" i="1"/>
  <c r="E23" i="1"/>
  <c r="E44" i="1"/>
  <c r="E10" i="1"/>
  <c r="L69" i="4"/>
  <c r="L89" i="4"/>
  <c r="E18" i="4"/>
  <c r="E27" i="4"/>
  <c r="E37" i="4"/>
  <c r="E46" i="4"/>
  <c r="E59" i="4"/>
  <c r="E64" i="4"/>
  <c r="E87" i="4"/>
  <c r="L9" i="4"/>
  <c r="L18" i="4"/>
  <c r="L26" i="4"/>
  <c r="L34" i="4"/>
  <c r="L42" i="4"/>
  <c r="S12" i="1"/>
  <c r="S35" i="1"/>
  <c r="S62" i="1"/>
  <c r="E27" i="1"/>
  <c r="E52" i="1"/>
  <c r="S4" i="4"/>
  <c r="L72" i="4"/>
  <c r="L93" i="4"/>
  <c r="E21" i="4"/>
  <c r="E30" i="4"/>
  <c r="E41" i="4"/>
  <c r="E49" i="4"/>
  <c r="E7" i="4"/>
  <c r="E66" i="4"/>
  <c r="E16" i="4"/>
  <c r="L10" i="4"/>
  <c r="L19" i="4"/>
  <c r="L27" i="4"/>
  <c r="L35" i="4"/>
  <c r="L43" i="4"/>
  <c r="S20" i="1"/>
  <c r="S41" i="1"/>
  <c r="S67" i="1"/>
  <c r="E32" i="1"/>
  <c r="E71" i="1"/>
  <c r="S3" i="4"/>
  <c r="L79" i="4"/>
  <c r="L94" i="4"/>
  <c r="E22" i="4"/>
  <c r="E31" i="4"/>
  <c r="E42" i="4"/>
  <c r="E52" i="4"/>
  <c r="E8" i="4"/>
  <c r="L5" i="4"/>
  <c r="L13" i="4"/>
  <c r="L22" i="4"/>
  <c r="L30" i="4"/>
  <c r="L38" i="4"/>
  <c r="L46" i="4"/>
  <c r="S25" i="1"/>
  <c r="S46" i="1"/>
  <c r="L50" i="1"/>
  <c r="E36" i="1"/>
  <c r="E6" i="1"/>
  <c r="L63" i="4"/>
  <c r="L88" i="4"/>
  <c r="E3" i="4"/>
  <c r="E26" i="4"/>
  <c r="E34" i="4"/>
  <c r="E45" i="4"/>
  <c r="E6" i="4"/>
  <c r="E63" i="4"/>
  <c r="E86" i="4"/>
  <c r="L6" i="4"/>
  <c r="L14" i="4"/>
  <c r="L23" i="4"/>
  <c r="L31" i="4"/>
  <c r="L39" i="4"/>
  <c r="L50" i="4"/>
  <c r="E62" i="1"/>
  <c r="E47" i="4"/>
  <c r="L11" i="4"/>
  <c r="S22" i="1"/>
  <c r="E38" i="1"/>
  <c r="E29" i="4"/>
  <c r="L12" i="4"/>
  <c r="L45" i="4"/>
  <c r="S34" i="1"/>
  <c r="E31" i="1"/>
  <c r="E4" i="1"/>
  <c r="L48" i="1"/>
  <c r="L12" i="1"/>
  <c r="E24" i="1"/>
  <c r="E45" i="1"/>
  <c r="L7" i="1"/>
  <c r="E19" i="4"/>
  <c r="E38" i="4"/>
  <c r="E60" i="4"/>
  <c r="L20" i="4"/>
  <c r="S8" i="1"/>
  <c r="S33" i="1"/>
  <c r="S69" i="1"/>
  <c r="E29" i="1"/>
  <c r="E50" i="1"/>
  <c r="L20" i="1"/>
  <c r="E20" i="4"/>
  <c r="E39" i="4"/>
  <c r="E61" i="4"/>
  <c r="L4" i="4"/>
  <c r="L21" i="4"/>
  <c r="L37" i="4"/>
  <c r="L70" i="4"/>
  <c r="S24" i="1"/>
  <c r="S45" i="1"/>
  <c r="E7" i="1"/>
  <c r="L32" i="1"/>
  <c r="E22" i="1"/>
  <c r="E43" i="1"/>
  <c r="L5" i="1"/>
  <c r="L46" i="1"/>
  <c r="L34" i="1"/>
  <c r="L22" i="1"/>
  <c r="L51" i="1"/>
  <c r="S26" i="1"/>
  <c r="S47" i="1"/>
  <c r="E5" i="1"/>
  <c r="L92" i="4"/>
  <c r="S37" i="1"/>
  <c r="L19" i="1"/>
  <c r="E65" i="4"/>
  <c r="L44" i="4"/>
  <c r="E21" i="1"/>
  <c r="L4" i="1"/>
  <c r="E10" i="4"/>
  <c r="L30" i="1"/>
  <c r="S70" i="1"/>
  <c r="E28" i="1"/>
  <c r="E49" i="1"/>
  <c r="L11" i="1"/>
  <c r="E23" i="4"/>
  <c r="E4" i="4"/>
  <c r="E9" i="4"/>
  <c r="L7" i="4"/>
  <c r="L24" i="4"/>
  <c r="L40" i="4"/>
  <c r="S18" i="1"/>
  <c r="S43" i="1"/>
  <c r="L83" i="4"/>
  <c r="E34" i="1"/>
  <c r="E63" i="1"/>
  <c r="L26" i="1"/>
  <c r="E25" i="4"/>
  <c r="E5" i="4"/>
  <c r="E62" i="4"/>
  <c r="L8" i="4"/>
  <c r="L25" i="4"/>
  <c r="L41" i="4"/>
  <c r="L91" i="4"/>
  <c r="S29" i="1"/>
  <c r="S50" i="1"/>
  <c r="E11" i="1"/>
  <c r="L62" i="4"/>
  <c r="E26" i="1"/>
  <c r="E47" i="1"/>
  <c r="L13" i="1"/>
  <c r="L71" i="4"/>
  <c r="L6" i="1"/>
  <c r="L29" i="1"/>
  <c r="S7" i="1"/>
  <c r="S32" i="1"/>
  <c r="S53" i="1"/>
  <c r="E9" i="1"/>
  <c r="E3" i="1"/>
  <c r="D120" i="5" l="1"/>
  <c r="D208" i="5"/>
  <c r="I44" i="1"/>
  <c r="B2" i="1" l="1"/>
  <c r="D2" i="5"/>
  <c r="L80" i="4"/>
  <c r="E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SANTINI</author>
    <author>tc={D72755A9-926B-426F-8067-750911E58287}</author>
  </authors>
  <commentList>
    <comment ref="B19" authorId="0" shapeId="0" xr:uid="{48C7719F-362E-4952-99F6-268A41E140B9}">
      <text>
        <r>
          <rPr>
            <sz val="11"/>
            <color theme="1"/>
            <rFont val="Calibri"/>
            <family val="2"/>
            <scheme val="minor"/>
          </rPr>
          <t>2025-04-09-Soldered by Prague team</t>
        </r>
      </text>
    </comment>
    <comment ref="P27" authorId="0" shapeId="0" xr:uid="{25623B3E-8320-49DB-9903-44E3EC08FB96}">
      <text>
        <r>
          <rPr>
            <sz val="11"/>
            <color theme="1"/>
            <rFont val="Calibri"/>
            <family val="2"/>
            <scheme val="minor"/>
          </rPr>
          <t>ST7789V Display IC</t>
        </r>
      </text>
    </comment>
    <comment ref="P28" authorId="0" shapeId="0" xr:uid="{8F580C0E-4F88-48B7-AB13-A9958572727A}">
      <text>
        <r>
          <rPr>
            <sz val="11"/>
            <color theme="1"/>
            <rFont val="Calibri"/>
            <family val="2"/>
            <scheme val="minor"/>
          </rPr>
          <t>IL9341 Display IC</t>
        </r>
      </text>
    </comment>
    <comment ref="P29" authorId="0" shapeId="0" xr:uid="{D4D2FF80-B459-4BCC-B324-CD98FCD85199}">
      <text>
        <r>
          <rPr>
            <sz val="11"/>
            <color theme="1"/>
            <rFont val="Calibri"/>
            <family val="2"/>
            <scheme val="minor"/>
          </rPr>
          <t>ILI9341 display IC</t>
        </r>
      </text>
    </comment>
    <comment ref="P30" authorId="0" shapeId="0" xr:uid="{CF9B3203-4C01-4246-B8E5-5097EF03305B}">
      <text>
        <r>
          <rPr>
            <sz val="11"/>
            <color theme="1"/>
            <rFont val="Calibri"/>
            <family val="2"/>
            <scheme val="minor"/>
          </rPr>
          <t>ST7789 display IC</t>
        </r>
      </text>
    </comment>
    <comment ref="I51" authorId="1" shapeId="0" xr:uid="{D72755A9-926B-426F-8067-750911E5828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includes:
STM32WB55RG (Nucleo68) STM32WB55CG (USB dongle)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tc={87071CCE-FA0B-4674-9F33-DDFC116FDC85}</author>
  </authors>
  <commentList>
    <comment ref="Z377" authorId="0" shapeId="0" xr:uid="{87071CCE-FA0B-4674-9F33-DDFC116FDC85}">
      <text>
        <t>[Threaded comment]
Your version of Excel allows you to read this threaded comment; however, any edits to it will get removed if the file is opened in a newer version of Excel. Learn more: https://go.microsoft.com/fwlink/?linkid=870924
Comment:
    13/12/2023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6A04CAE-5910-48E9-9612-32E1E3C648E8}" keepAlive="1" name="Query - DISCOVERY-EVAL_Automated" description="Connection to the 'DISCOVERY-EVAL_Automated' query in the workbook." type="5" refreshedVersion="8" background="1" saveData="1">
    <dbPr connection="Provider=Microsoft.Mashup.OleDb.1;Data Source=$Workbook$;Location=DISCOVERY-EVAL_Automated;Extended Properties=&quot;&quot;" command="SELECT * FROM [DISCOVERY-EVAL_Automated]"/>
  </connection>
  <connection id="2" xr16:uid="{82FDEF07-35FD-4D42-89BA-FA974C13B635}" keepAlive="1" name="Query - Furnitures_Automated" description="Connection to the 'Furnitures_Automated' query in the workbook." type="5" refreshedVersion="8" background="1" saveData="1">
    <dbPr connection="Provider=Microsoft.Mashup.OleDb.1;Data Source=$Workbook$;Location=Furnitures_Automated;Extended Properties=&quot;&quot;" command="SELECT * FROM [Furnitures_Automated]"/>
  </connection>
  <connection id="3" xr16:uid="{E61D6EB7-34DE-4CDB-A134-57B054EDC045}" keepAlive="1" name="Query - NUCLEO_Automated" description="Connection to the 'NUCLEO_Automated' query in the workbook." type="5" refreshedVersion="8" background="1" saveData="1">
    <dbPr connection="Provider=Microsoft.Mashup.OleDb.1;Data Source=$Workbook$;Location=NUCLEO_Automated;Extended Properties=&quot;&quot;" command="SELECT * FROM [NUCLEO_Automated]"/>
  </connection>
</connections>
</file>

<file path=xl/sharedStrings.xml><?xml version="1.0" encoding="utf-8"?>
<sst xmlns="http://schemas.openxmlformats.org/spreadsheetml/2006/main" count="14243" uniqueCount="2466">
  <si>
    <t>Type</t>
  </si>
  <si>
    <t>Name</t>
  </si>
  <si>
    <t>$$</t>
  </si>
  <si>
    <t>Stock</t>
  </si>
  <si>
    <t>On-Site</t>
  </si>
  <si>
    <t>Oscilloscope</t>
  </si>
  <si>
    <t>Picoscope</t>
  </si>
  <si>
    <t>Saleae</t>
  </si>
  <si>
    <t>Power supply</t>
  </si>
  <si>
    <t>Sefram 30volts</t>
  </si>
  <si>
    <t>Small yellow ELC 15V</t>
  </si>
  <si>
    <t>Multimeter</t>
  </si>
  <si>
    <t>No Name (MP1 Workshop)</t>
  </si>
  <si>
    <t>USB analyser</t>
  </si>
  <si>
    <t>Beagle M480</t>
  </si>
  <si>
    <t>Voltcraft</t>
  </si>
  <si>
    <t>Fluke (Yellow)</t>
  </si>
  <si>
    <t>Debugger Probe</t>
  </si>
  <si>
    <t>Segger Ultra+ (all cores)</t>
  </si>
  <si>
    <t>STX-RLink Raisonance</t>
  </si>
  <si>
    <t>Debug Probe</t>
  </si>
  <si>
    <t>STLinkV3 PWR</t>
  </si>
  <si>
    <t>STLink-V3SET</t>
  </si>
  <si>
    <t>STLinkV3 Voltage conversion</t>
  </si>
  <si>
    <t>B-STLINK-VOLT</t>
  </si>
  <si>
    <t>STLinkV3 Isolation and voltage adapter</t>
  </si>
  <si>
    <t>B-STLINK-ISOL</t>
  </si>
  <si>
    <t>STLinkV3 FDCAN extension</t>
  </si>
  <si>
    <t>B-STLINK-FDCAN</t>
  </si>
  <si>
    <t>STLink-V2 ISOL</t>
  </si>
  <si>
    <t>STLink-V2 Isolated</t>
  </si>
  <si>
    <t>STLink-V3MINIE</t>
  </si>
  <si>
    <t>STLink-V3MINI</t>
  </si>
  <si>
    <t>STLink-V3MODS</t>
  </si>
  <si>
    <t>STM32 Nucleo-32 Boards</t>
  </si>
  <si>
    <t>STM32 Nucleo-144 Boards</t>
  </si>
  <si>
    <t>STM32 Nucleo Expansion Pack</t>
  </si>
  <si>
    <t>Family</t>
  </si>
  <si>
    <t>MCU</t>
  </si>
  <si>
    <t>F0</t>
  </si>
  <si>
    <t xml:space="preserve">NUCLEO-F031K6 </t>
  </si>
  <si>
    <t>STM32F031K6Tx</t>
  </si>
  <si>
    <t>F2</t>
  </si>
  <si>
    <r>
      <t>NUCLEO-F207ZG</t>
    </r>
    <r>
      <rPr>
        <sz val="11"/>
        <color rgb="FF252525"/>
        <rFont val="Arial"/>
        <family val="2"/>
      </rPr>
      <t/>
    </r>
  </si>
  <si>
    <t>STM32F207ZGTx</t>
  </si>
  <si>
    <t>Camera</t>
  </si>
  <si>
    <t>B-CAMS-IMX (MZ2)</t>
  </si>
  <si>
    <r>
      <t>NUCLEO-F042K6</t>
    </r>
    <r>
      <rPr>
        <sz val="11"/>
        <color rgb="FF252525"/>
        <rFont val="Arial"/>
        <family val="2"/>
      </rPr>
      <t/>
    </r>
  </si>
  <si>
    <t>STM32F042K6Tx</t>
  </si>
  <si>
    <t>F3</t>
  </si>
  <si>
    <r>
      <t>NUCLEO-F303ZE</t>
    </r>
    <r>
      <rPr>
        <sz val="11"/>
        <color rgb="FF252525"/>
        <rFont val="Arial"/>
        <family val="2"/>
      </rPr>
      <t/>
    </r>
  </si>
  <si>
    <t>STM32F303ZETx</t>
  </si>
  <si>
    <t>B-CAMS-IMX (MZ1)</t>
  </si>
  <si>
    <r>
      <t>NUCLEO-F303K8</t>
    </r>
    <r>
      <rPr>
        <sz val="11"/>
        <color rgb="FF252525"/>
        <rFont val="Arial"/>
        <family val="2"/>
      </rPr>
      <t/>
    </r>
  </si>
  <si>
    <t>STM32F303K8Tx</t>
  </si>
  <si>
    <t>F4</t>
  </si>
  <si>
    <t>NUCLEO-F412ZG</t>
  </si>
  <si>
    <t>STM32F412ZGTx</t>
  </si>
  <si>
    <t>B-CAMS-OMV</t>
  </si>
  <si>
    <t>G0</t>
  </si>
  <si>
    <t>NUCLEO-G031K8</t>
  </si>
  <si>
    <t>STM32G031K8Tx</t>
  </si>
  <si>
    <t>NUCLEO-F413ZH</t>
  </si>
  <si>
    <t>STM32F413ZHTx</t>
  </si>
  <si>
    <t>Display</t>
  </si>
  <si>
    <t>B-LCD40-DSI1</t>
  </si>
  <si>
    <t>G4</t>
  </si>
  <si>
    <t>NUCLEO-G431K8</t>
  </si>
  <si>
    <t>STM32G431KBTx</t>
  </si>
  <si>
    <r>
      <t>NUCLEO-F429ZI</t>
    </r>
    <r>
      <rPr>
        <sz val="11"/>
        <color rgb="FF252525"/>
        <rFont val="Arial"/>
        <family val="2"/>
      </rPr>
      <t/>
    </r>
  </si>
  <si>
    <t>STM32F429ZITx</t>
  </si>
  <si>
    <t>B-LCDAD-HDMI1</t>
  </si>
  <si>
    <t>L0</t>
  </si>
  <si>
    <r>
      <t>NUCLEO-L011K4</t>
    </r>
    <r>
      <rPr>
        <sz val="11"/>
        <color rgb="FF252525"/>
        <rFont val="Arial"/>
        <family val="2"/>
      </rPr>
      <t/>
    </r>
  </si>
  <si>
    <t>STM32L011K4Tx</t>
  </si>
  <si>
    <t>NUCLEO-F439ZI</t>
  </si>
  <si>
    <t>STM32F439ZITx</t>
  </si>
  <si>
    <t>B-LCDAD-RPI1</t>
  </si>
  <si>
    <r>
      <t>NUCLEO-L031K6</t>
    </r>
    <r>
      <rPr>
        <sz val="11"/>
        <color rgb="FF252525"/>
        <rFont val="Arial"/>
        <family val="2"/>
      </rPr>
      <t/>
    </r>
  </si>
  <si>
    <t>STM32L031K6Tx</t>
  </si>
  <si>
    <t>NUCLEO-F446ZG</t>
  </si>
  <si>
    <t>STM32F446ZETx</t>
  </si>
  <si>
    <t>RVA15MD-NUC64A</t>
  </si>
  <si>
    <t>L4</t>
  </si>
  <si>
    <t>NUCLEO-L412KB</t>
  </si>
  <si>
    <t>STM32L412KBUx</t>
  </si>
  <si>
    <t>F7</t>
  </si>
  <si>
    <t>NUCLEO-F722ZE</t>
  </si>
  <si>
    <t>STM32F722ZETx</t>
  </si>
  <si>
    <t>RVA35HI-NUC144A</t>
  </si>
  <si>
    <t>NUCLEO-L432KC</t>
  </si>
  <si>
    <t>STM32L432KCUx</t>
  </si>
  <si>
    <r>
      <t>NUCLEO-F746ZG</t>
    </r>
    <r>
      <rPr>
        <sz val="11"/>
        <color rgb="FF252525"/>
        <rFont val="Arial"/>
        <family val="2"/>
      </rPr>
      <t/>
    </r>
  </si>
  <si>
    <t>STM32F746ZGTx</t>
  </si>
  <si>
    <t>ToF</t>
  </si>
  <si>
    <t>X-NUCLEO-53L0A1</t>
  </si>
  <si>
    <t>NUCLEO-F756ZG</t>
  </si>
  <si>
    <t>STM32F765ZGT6</t>
  </si>
  <si>
    <t>X-NUCLEO-53L1A1</t>
  </si>
  <si>
    <t>STM32 Nucleo-48/64/68 Boards</t>
  </si>
  <si>
    <t>NUCLEO-F767ZI</t>
  </si>
  <si>
    <t>STM32F767ZITx</t>
  </si>
  <si>
    <t>X-NUCLEO-53L3A2</t>
  </si>
  <si>
    <t>H5</t>
  </si>
  <si>
    <t>NUCLEO-H563ZI ($MT2)</t>
  </si>
  <si>
    <t>ES32H563ZIT6</t>
  </si>
  <si>
    <t>X-NUCLEO-53L4A1</t>
  </si>
  <si>
    <t>C0</t>
  </si>
  <si>
    <t>NUCLEO-C031C6</t>
  </si>
  <si>
    <t>STM32C031C6T6U</t>
  </si>
  <si>
    <t>NUCLEO-H563ZI ($MR1)</t>
  </si>
  <si>
    <t>STM32H563ZIT6U</t>
  </si>
  <si>
    <t>X-NUCLEO-53L4A2</t>
  </si>
  <si>
    <t>NUCLEO-C071RB (KS1)</t>
  </si>
  <si>
    <t>ES32C071RBT6LEV2</t>
  </si>
  <si>
    <t>NUCLEO-H563ZI ($MR2)</t>
  </si>
  <si>
    <t>X-NUCLEO-53L7A1</t>
  </si>
  <si>
    <t>C1</t>
  </si>
  <si>
    <t>NUCLEO-C051RB (KS1)</t>
  </si>
  <si>
    <t>STM32C051C8T6U</t>
  </si>
  <si>
    <t>NUCLEO-H563ZI ($KR1)</t>
  </si>
  <si>
    <t>X-NUCLEO-53L8A1</t>
  </si>
  <si>
    <t>NUCLEO-C092RC (KU1)</t>
  </si>
  <si>
    <t>ES32C071RBT6LEV3</t>
  </si>
  <si>
    <t>H7</t>
  </si>
  <si>
    <t>NUCLEO-H723ZG</t>
  </si>
  <si>
    <t>STM32H723ZGT6</t>
  </si>
  <si>
    <t>X-NUCLEO-6180XA1</t>
  </si>
  <si>
    <t>C5</t>
  </si>
  <si>
    <t>NUCLEO-C562RE (Rev Z)</t>
  </si>
  <si>
    <t>EC32C562RET6</t>
  </si>
  <si>
    <t>NUCLEO-H743ZI</t>
  </si>
  <si>
    <t>STM32H743ZITx</t>
  </si>
  <si>
    <t>Microphone</t>
  </si>
  <si>
    <t>X-NUCLEO-AMICAM1</t>
  </si>
  <si>
    <t>NUCLEO-F030R8</t>
  </si>
  <si>
    <t>STM32F030R8Tx</t>
  </si>
  <si>
    <t>NUCLEO-H743ZI2</t>
  </si>
  <si>
    <t>Audio</t>
  </si>
  <si>
    <t>X-NUCLEO-CCA01M1</t>
  </si>
  <si>
    <r>
      <t>NUCLEO-F070RB</t>
    </r>
    <r>
      <rPr>
        <sz val="11"/>
        <color rgb="FF252525"/>
        <rFont val="Arial"/>
        <family val="2"/>
      </rPr>
      <t/>
    </r>
  </si>
  <si>
    <t>STM32F070RBTx</t>
  </si>
  <si>
    <t>NUCLEO-H745ZI-Q</t>
  </si>
  <si>
    <t>STM32H745ZITx</t>
  </si>
  <si>
    <t>X-NUCLEO-CCA02M2</t>
  </si>
  <si>
    <t>NUCLEO-F072RB</t>
  </si>
  <si>
    <t>STM32F072RBTx</t>
  </si>
  <si>
    <t>NUCLEO-H753ZI</t>
  </si>
  <si>
    <t>STM32H753ZITx</t>
  </si>
  <si>
    <t>USB-C PD</t>
  </si>
  <si>
    <t>X-NUCLEO-DRP1M1</t>
  </si>
  <si>
    <t>NUCLEO-F091RC</t>
  </si>
  <si>
    <t>STM32F091RCTx</t>
  </si>
  <si>
    <t>NUCLEO-H753ZI (AT3)</t>
  </si>
  <si>
    <t xml:space="preserve">EEPROM </t>
  </si>
  <si>
    <t>X-NUCLEO-EEICA1</t>
  </si>
  <si>
    <t>F1</t>
  </si>
  <si>
    <t>NUCLEO-F103RB</t>
  </si>
  <si>
    <t>STM32F103RBTx</t>
  </si>
  <si>
    <t>NUCLEO-H755ZI-Q</t>
  </si>
  <si>
    <t>STM32H755ZITx</t>
  </si>
  <si>
    <t>X-NUCLEO-EEPRMA1</t>
  </si>
  <si>
    <r>
      <t>NUCLEO-F302R8</t>
    </r>
    <r>
      <rPr>
        <sz val="11"/>
        <color rgb="FF252525"/>
        <rFont val="Arial"/>
        <family val="2"/>
      </rPr>
      <t/>
    </r>
  </si>
  <si>
    <t>STM32F302R8Tx</t>
  </si>
  <si>
    <t>NUCLEO-H755ZI-Q (AT3)</t>
  </si>
  <si>
    <t>X-NUCLEO-EEPRMA2</t>
  </si>
  <si>
    <r>
      <t>NUCLEO-F303RE</t>
    </r>
    <r>
      <rPr>
        <sz val="11"/>
        <color rgb="FF252525"/>
        <rFont val="Arial"/>
        <family val="2"/>
      </rPr>
      <t/>
    </r>
  </si>
  <si>
    <t>STM32F303RETx</t>
  </si>
  <si>
    <t>NUCLEO-H7A3ZI-Q</t>
  </si>
  <si>
    <t>STM32H7A3ZITxQ</t>
  </si>
  <si>
    <t>X-NUCLEO-GFX01M1</t>
  </si>
  <si>
    <t>NUCLEO-F334R8</t>
  </si>
  <si>
    <t>STM32F334R8Tx</t>
  </si>
  <si>
    <t>NUCLEO-H7S3L8 (KR1)</t>
  </si>
  <si>
    <t>STM32H7S3L8H6U</t>
  </si>
  <si>
    <t>X-NUCLEO-GFX01M2 AZ1</t>
  </si>
  <si>
    <t>NUCLEO-F401RE</t>
  </si>
  <si>
    <t>STM32F401RETx</t>
  </si>
  <si>
    <t>NUCLEO-L496ZG</t>
  </si>
  <si>
    <t>STM32L496ZGTx</t>
  </si>
  <si>
    <t>X-NUCLEO-GFX01M2 AZ2</t>
  </si>
  <si>
    <t>NUCLEO-F410RB</t>
  </si>
  <si>
    <t>STM32F410RBTx</t>
  </si>
  <si>
    <t>NUCLEO-L496ZG-P</t>
  </si>
  <si>
    <t>STM32L496ZGTxP</t>
  </si>
  <si>
    <t>X-NUCLEO-GFX02Z1 AZ1</t>
  </si>
  <si>
    <t>F5</t>
  </si>
  <si>
    <t>NUCLEO-F410RB (AU1)</t>
  </si>
  <si>
    <t>NUCLEO-L4A6ZG</t>
  </si>
  <si>
    <t>STM32L4A6ZG</t>
  </si>
  <si>
    <t>X-NUCLEO-GFX02Z1 AZ2</t>
  </si>
  <si>
    <t>NUCLEO-F411RE</t>
  </si>
  <si>
    <t>STM32F411RETx</t>
  </si>
  <si>
    <t>NUCLEO-L4P5ZG</t>
  </si>
  <si>
    <t>STM32L4P5ZGTx</t>
  </si>
  <si>
    <t>BlueNRG</t>
  </si>
  <si>
    <t>X-NUCLEO-IDB04A1</t>
  </si>
  <si>
    <t>NUCLEO-F446RE</t>
  </si>
  <si>
    <t>STM32F446RETx</t>
  </si>
  <si>
    <t>NUCLEO-L4R5ZI</t>
  </si>
  <si>
    <t>STM32L4R5ZITx</t>
  </si>
  <si>
    <t>X-NUCLEO-IDB05A1</t>
  </si>
  <si>
    <t>NUCLEO-G070RB</t>
  </si>
  <si>
    <t>STM32G070RBTx</t>
  </si>
  <si>
    <t>NUCLEO-L4R5ZI-P</t>
  </si>
  <si>
    <t>STM32L4R5ZITxP</t>
  </si>
  <si>
    <t>X-NUCLEO-IDB05A2</t>
  </si>
  <si>
    <t>NUCLEO-G071RB</t>
  </si>
  <si>
    <t>STM32G071RBTx</t>
  </si>
  <si>
    <t>L5</t>
  </si>
  <si>
    <t>NUCLEO-L552ZE-Q</t>
  </si>
  <si>
    <t>STM32L552ZETxQ</t>
  </si>
  <si>
    <t>Sub-1 GHz 868 MHz</t>
  </si>
  <si>
    <t>X-NUCLEO-IDS01A4</t>
  </si>
  <si>
    <t>NUCLEO-G0B1RE</t>
  </si>
  <si>
    <t>STM32G0B1RE</t>
  </si>
  <si>
    <t>N6</t>
  </si>
  <si>
    <t>NUCLEO-N657X0-Q (CR3)</t>
  </si>
  <si>
    <t>ES32N657X0H3</t>
  </si>
  <si>
    <t>Sub-1 GHz 915 MHz</t>
  </si>
  <si>
    <t>X-NUCLEO-IDS01A5</t>
  </si>
  <si>
    <t>NUCLEO-G431RB</t>
  </si>
  <si>
    <t>STM32G431RBTx</t>
  </si>
  <si>
    <t>NUCLEO-N657X0-Q (CR1)</t>
  </si>
  <si>
    <t>STM32N657X0H3</t>
  </si>
  <si>
    <t>Wi-Fi</t>
  </si>
  <si>
    <t>X-NUCLEO-IDW01M1</t>
  </si>
  <si>
    <t>NUCLEO-G474RE</t>
  </si>
  <si>
    <t>STM32G474RETx</t>
  </si>
  <si>
    <t>U5</t>
  </si>
  <si>
    <t>NUCLEO-U575ZI-Q (AT1)</t>
  </si>
  <si>
    <t>STM32U575ZIT6Q</t>
  </si>
  <si>
    <t>Motor Control</t>
  </si>
  <si>
    <t>X-NUCLEO-IHM09M1</t>
  </si>
  <si>
    <t>NUCLEO-G491RE</t>
  </si>
  <si>
    <t>STM32G491RETx</t>
  </si>
  <si>
    <t>NUCLEO-U575ZI-Q (AT2)</t>
  </si>
  <si>
    <t>X-NUCLEO-IHM09M2</t>
  </si>
  <si>
    <t>NUCLEO-H503RB</t>
  </si>
  <si>
    <t>ES32H503RBT6</t>
  </si>
  <si>
    <t>NUCLEO-U575ZI-Q (AT3)</t>
  </si>
  <si>
    <t>X-NUCLEO-IHM15A1</t>
  </si>
  <si>
    <t>NUCLEO-H503RB (MR2)</t>
  </si>
  <si>
    <t>STM32H503RBT7</t>
  </si>
  <si>
    <t>NUCLEO-U575ZI-Q (AT4)</t>
  </si>
  <si>
    <t>OpAmps</t>
  </si>
  <si>
    <t>X-NUCLEO-IKA01A1</t>
  </si>
  <si>
    <t>NUCLEO-H533RE (MR1)</t>
  </si>
  <si>
    <t>STM32H533RET6U</t>
  </si>
  <si>
    <t>NUCLEO-U5A5ZJ-Q</t>
  </si>
  <si>
    <t>STM32U5A5ZJT6Q</t>
  </si>
  <si>
    <t>Mems</t>
  </si>
  <si>
    <t>X-NUCLEO-IKS01A2</t>
  </si>
  <si>
    <t>NUCLEO-H533RE (KR2)</t>
  </si>
  <si>
    <t>X-NUCLEO-IKS01A3</t>
  </si>
  <si>
    <t>NUCLEO-L010RB</t>
  </si>
  <si>
    <t>STM32L010RBTx</t>
  </si>
  <si>
    <t>STM32 Nucleo Packs</t>
  </si>
  <si>
    <t>Mems-Micro</t>
  </si>
  <si>
    <t>X-NUCLEO-IKS02A1</t>
  </si>
  <si>
    <r>
      <t>NUCLEO-L053R8</t>
    </r>
    <r>
      <rPr>
        <sz val="11"/>
        <color rgb="FF252525"/>
        <rFont val="Arial"/>
        <family val="2"/>
      </rPr>
      <t/>
    </r>
  </si>
  <si>
    <t>STM32L053R8Tx</t>
  </si>
  <si>
    <t>X-NUCLEO-IKS4A1</t>
  </si>
  <si>
    <t>NUCLEO-L073RZ</t>
  </si>
  <si>
    <t>STM32L073RZTx</t>
  </si>
  <si>
    <t>P-NUCLEO-53L4A2</t>
  </si>
  <si>
    <t>Power</t>
  </si>
  <si>
    <t>X-NUCLEO-IOD02A1</t>
  </si>
  <si>
    <t>L1</t>
  </si>
  <si>
    <t>NUCLEO-L152RE</t>
  </si>
  <si>
    <t>STM32L152RETx</t>
  </si>
  <si>
    <t>P-NUCLEO-USB001</t>
  </si>
  <si>
    <t>STM32F072RBT6</t>
  </si>
  <si>
    <t>X-NUCLEO-IPS02A1</t>
  </si>
  <si>
    <t>NUCLEO-L412RB-P</t>
  </si>
  <si>
    <t>STM32L412RBTxP</t>
  </si>
  <si>
    <t>P-NUCLEO-USB002</t>
  </si>
  <si>
    <t>LED</t>
  </si>
  <si>
    <t>X-NUCLEO-LED16A1</t>
  </si>
  <si>
    <t>NUCLEO-L433RC-P</t>
  </si>
  <si>
    <t>STM32L433RCTxP</t>
  </si>
  <si>
    <t>F7-F4</t>
  </si>
  <si>
    <t>P-NUCLEO-LRWAN2</t>
  </si>
  <si>
    <t>X-NUCLEO-LED61A1</t>
  </si>
  <si>
    <t>NUCLEO-L452RE</t>
  </si>
  <si>
    <t>STM32L452RETx</t>
  </si>
  <si>
    <t>P-L496G-CELL01</t>
  </si>
  <si>
    <t>STM32L496AGIx</t>
  </si>
  <si>
    <t>GNSS</t>
  </si>
  <si>
    <t>X-NUCLEO-LIV4A1A</t>
  </si>
  <si>
    <t>NUCLEO-L452RE-P</t>
  </si>
  <si>
    <t>STM32L452RETxP</t>
  </si>
  <si>
    <t>P-L496G-CELL02</t>
  </si>
  <si>
    <t>X-NUCLEO-LPM01A</t>
  </si>
  <si>
    <t>NUCLEO-L476RG</t>
  </si>
  <si>
    <t>STM32L476RGTx</t>
  </si>
  <si>
    <t>WB</t>
  </si>
  <si>
    <t>P-NUCLEO-WB55</t>
  </si>
  <si>
    <t>STM32WB55RGVx</t>
  </si>
  <si>
    <t>NFC</t>
  </si>
  <si>
    <t>X-NUCLEO-NFC01A1</t>
  </si>
  <si>
    <t>STM32L552ZET6QU</t>
  </si>
  <si>
    <t>X-NUCLEO-NFC01A2</t>
  </si>
  <si>
    <t>U0</t>
  </si>
  <si>
    <t>NUCLEO-U031R8 (KS1)</t>
  </si>
  <si>
    <t>STM32U083R8</t>
  </si>
  <si>
    <t>X-NUCLEO-NFC03A1</t>
  </si>
  <si>
    <t>NUCLEO-U083RC (KS1)</t>
  </si>
  <si>
    <t>STM32U083RCT6</t>
  </si>
  <si>
    <t>X-NUCLEO-NFC04A1</t>
  </si>
  <si>
    <t>U3</t>
  </si>
  <si>
    <t>NUCLEO-U385RB (CR1) ES</t>
  </si>
  <si>
    <t>EC32U385RT6Q</t>
  </si>
  <si>
    <t>X-NUCLEO-NFC05A1</t>
  </si>
  <si>
    <t>NUCLEO-U385RG-Q (CR1) ES</t>
  </si>
  <si>
    <t>EC32U385RG</t>
  </si>
  <si>
    <t>X-NUCLEO-NFC06A1</t>
  </si>
  <si>
    <t>NUCLEO-U385RG-Q (CR1)</t>
  </si>
  <si>
    <t>STM32U385RG</t>
  </si>
  <si>
    <t>X-NUCLEO-NFC08A1</t>
  </si>
  <si>
    <t>NUCLEO-U545RE-Q (MR1)</t>
  </si>
  <si>
    <t>STM32U545RET6QU</t>
  </si>
  <si>
    <t>X-NUCLEO-OUT04A1</t>
  </si>
  <si>
    <t>WB05</t>
  </si>
  <si>
    <t>NUCLEO-WB05KZ(CR1)</t>
  </si>
  <si>
    <t>STM32WB05KZV6</t>
  </si>
  <si>
    <t>X-NUCLEO-OUT07A1</t>
  </si>
  <si>
    <t>WB07</t>
  </si>
  <si>
    <t>NUCLEO-WB07CC(CR1)</t>
  </si>
  <si>
    <t>STM32WB07CC</t>
  </si>
  <si>
    <t>X-NUCLEO-OUT14A1</t>
  </si>
  <si>
    <t>WB09</t>
  </si>
  <si>
    <t>NUCLEO-WB09KE (CR1)</t>
  </si>
  <si>
    <t>STM32WB09KEV6TR</t>
  </si>
  <si>
    <t>X-NUCLEO-OUT15A1</t>
  </si>
  <si>
    <t>NUCLEO-WB15CC</t>
  </si>
  <si>
    <t>STM32WB15CCU6</t>
  </si>
  <si>
    <t>X-NUCLEO-PLM01A1</t>
  </si>
  <si>
    <t>NUCLEO-WB55RG</t>
  </si>
  <si>
    <t>STM32WB55RGV6U</t>
  </si>
  <si>
    <t>X-NUCLEO-PGEEZ1</t>
  </si>
  <si>
    <t>NUCLEO-WB55RG (CU4)</t>
  </si>
  <si>
    <t>X-NUCLEO-S2868A1</t>
  </si>
  <si>
    <t>WBA</t>
  </si>
  <si>
    <t>NUCLEO-WBA52CG</t>
  </si>
  <si>
    <t>ESWBA52CGU7</t>
  </si>
  <si>
    <t>ST Safe</t>
  </si>
  <si>
    <t>X-NUCLEO-SAFEA1A</t>
  </si>
  <si>
    <t>NUCLEO-WBA55CG (DT1)</t>
  </si>
  <si>
    <t>STM32WBA55CGU6U</t>
  </si>
  <si>
    <t>X-NUCLEO-SNK1M1</t>
  </si>
  <si>
    <t>NUCLEO-WBA65RI (DR1)</t>
  </si>
  <si>
    <t>STM32WBA</t>
  </si>
  <si>
    <t>X-NUCLEO-SRC1M1</t>
  </si>
  <si>
    <t>WL</t>
  </si>
  <si>
    <t>NUCLEO-WL33CC1 (CR1)</t>
  </si>
  <si>
    <t>E32WL33???</t>
  </si>
  <si>
    <t>X-NUCLEO-STMODA1</t>
  </si>
  <si>
    <t>NUCLEO-WL33CC2 (CR1)</t>
  </si>
  <si>
    <t>X-NUCLEO-STSA100</t>
  </si>
  <si>
    <t>NUCLEO-WL55JC1</t>
  </si>
  <si>
    <t>STM32WL55JCIx</t>
  </si>
  <si>
    <t>X-NUCLEO-USBPDM1</t>
  </si>
  <si>
    <t>NUCLEO-WL55JC2</t>
  </si>
  <si>
    <t>STM32 Discovery Boards</t>
  </si>
  <si>
    <t>STM32 Evaluation Boards</t>
  </si>
  <si>
    <t>Socketed NUCLEO</t>
  </si>
  <si>
    <t>STLINK</t>
  </si>
  <si>
    <t>STM320518-EVAL</t>
  </si>
  <si>
    <t>STM32F051R8T5</t>
  </si>
  <si>
    <t>NUCLEO/144T-WS</t>
  </si>
  <si>
    <t>STM8L152R8T6</t>
  </si>
  <si>
    <t>B-G431B-ESC1</t>
  </si>
  <si>
    <t>STM32G431CB</t>
  </si>
  <si>
    <t>STM32F051R8T6</t>
  </si>
  <si>
    <t>NUCLEO/64T-WS</t>
  </si>
  <si>
    <t>B-G474E-DPOW1</t>
  </si>
  <si>
    <t>STM32072B-EVAL</t>
  </si>
  <si>
    <t>STM32F072VB</t>
  </si>
  <si>
    <t>NUCLEO-MB1814-WS</t>
  </si>
  <si>
    <t>ST-Link V3</t>
  </si>
  <si>
    <t>B-L072Z-LRWAN1</t>
  </si>
  <si>
    <t>STM32L072CZYx</t>
  </si>
  <si>
    <t>STM32091C-EVAL</t>
  </si>
  <si>
    <t>STM32F091VC</t>
  </si>
  <si>
    <t>NUCLEO-MB1136-WS</t>
  </si>
  <si>
    <t>STM32U0</t>
  </si>
  <si>
    <t>B-L462E-CELL1</t>
  </si>
  <si>
    <t>STM32L462REYx</t>
  </si>
  <si>
    <t>STM3210C-EVAL</t>
  </si>
  <si>
    <t>STM32F107VC</t>
  </si>
  <si>
    <t>NUCLEO-MB1932-WS</t>
  </si>
  <si>
    <t>64 pins</t>
  </si>
  <si>
    <t>B-L475E-IOT01A1</t>
  </si>
  <si>
    <t>STM32L475VGT6</t>
  </si>
  <si>
    <t>STM3210E-EVAL</t>
  </si>
  <si>
    <t>STM32F103ZG</t>
  </si>
  <si>
    <t>STM32N6570-SKT</t>
  </si>
  <si>
    <t>B-L475E-IOT01A2</t>
  </si>
  <si>
    <t>STM3220G-EVAL</t>
  </si>
  <si>
    <t>STM32F207IG</t>
  </si>
  <si>
    <t>B-L4S5I-IOT01A</t>
  </si>
  <si>
    <t>STM32L4S5VITx</t>
  </si>
  <si>
    <t>STM3221G-EVAL</t>
  </si>
  <si>
    <t>STM32F217IG</t>
  </si>
  <si>
    <t>Parts for Socketed NUCLEO</t>
  </si>
  <si>
    <t>B-U585I-IOT02A (GT2)</t>
  </si>
  <si>
    <t>STM32U585AI</t>
  </si>
  <si>
    <t>STM32303C-EVAL</t>
  </si>
  <si>
    <t>STM32F303VC</t>
  </si>
  <si>
    <t>B-U585I-IOT02A (GT5)</t>
  </si>
  <si>
    <t>STM32303E-EVAL</t>
  </si>
  <si>
    <t>STM32F303VE</t>
  </si>
  <si>
    <t>STM32G070RBT6</t>
  </si>
  <si>
    <t>B-WB1M-WPAN1 (MZ2)</t>
  </si>
  <si>
    <t>EBWB1MWPAN1$MZ2</t>
  </si>
  <si>
    <t>STM32373C-EVAL</t>
  </si>
  <si>
    <t>STM32F373VC</t>
  </si>
  <si>
    <t>STM32G071RBT6</t>
  </si>
  <si>
    <t>B-WBA5M-WPAN (CZ2)</t>
  </si>
  <si>
    <t>EBWBA5MWPAN$CZ2</t>
  </si>
  <si>
    <t>STM3240G-EVAL</t>
  </si>
  <si>
    <t>STM32F407IG</t>
  </si>
  <si>
    <t>STM32U083MCT6</t>
  </si>
  <si>
    <t>B-WL5M-SUBG1 (CZ1)</t>
  </si>
  <si>
    <t>32WL5MOCH6U</t>
  </si>
  <si>
    <t>STM3241G-EVAL</t>
  </si>
  <si>
    <t>STM32F417IG</t>
  </si>
  <si>
    <t>STM32C0116-DK</t>
  </si>
  <si>
    <t>STM32C011F6Ux</t>
  </si>
  <si>
    <t>STM32429I-EVAL1</t>
  </si>
  <si>
    <t>STM32F429NIH</t>
  </si>
  <si>
    <t>STM32WLE5CCU6</t>
  </si>
  <si>
    <t>STM32C0316-DK</t>
  </si>
  <si>
    <t>STM32C031C6Tx</t>
  </si>
  <si>
    <t>STM32437I-EVAL</t>
  </si>
  <si>
    <t>STM32N657X0H3QU</t>
  </si>
  <si>
    <t>STM32F0308-DISCO</t>
  </si>
  <si>
    <t>STM32439I-EVAL2</t>
  </si>
  <si>
    <t>STM32F439NIH</t>
  </si>
  <si>
    <t>STM32F072B-DISCO</t>
  </si>
  <si>
    <t>STM32446E-EVAL</t>
  </si>
  <si>
    <t>STM32F4446ZET</t>
  </si>
  <si>
    <t>STM32VLDISCOVERY</t>
  </si>
  <si>
    <t>STM32F100RBTx</t>
  </si>
  <si>
    <t>STM32469I-EVAL</t>
  </si>
  <si>
    <t>STM32F469NIH</t>
  </si>
  <si>
    <t>STM32F3348-DISCO</t>
  </si>
  <si>
    <t>STM32F334C8Tx</t>
  </si>
  <si>
    <t>STM32479I-EVAL</t>
  </si>
  <si>
    <t>STM32F479NIH</t>
  </si>
  <si>
    <t>STM32F3DISCOVERY</t>
  </si>
  <si>
    <t>STM32F303VCTx</t>
  </si>
  <si>
    <t>STM32746G-EVAL2</t>
  </si>
  <si>
    <t>STM32F746NHG</t>
  </si>
  <si>
    <t>STM32F401C-DISCO</t>
  </si>
  <si>
    <t>STM32F401VCTx</t>
  </si>
  <si>
    <t>STM32756G-EVAL2</t>
  </si>
  <si>
    <t>STM32F756NHG</t>
  </si>
  <si>
    <t>ST23DV-Discovery Kit</t>
  </si>
  <si>
    <t>STM32F405VGT6</t>
  </si>
  <si>
    <t>STM32F769I-EVAL</t>
  </si>
  <si>
    <t>STM32F769NIH</t>
  </si>
  <si>
    <t>STM32F407G-DISC1</t>
  </si>
  <si>
    <t>STM32F407VGTx</t>
  </si>
  <si>
    <t>STM32F779I-EVAL</t>
  </si>
  <si>
    <t>STM32F779NIH</t>
  </si>
  <si>
    <t>STM32F411E-DISCO</t>
  </si>
  <si>
    <t>STM32F411VETx</t>
  </si>
  <si>
    <t>STM32G081B-EVAL</t>
  </si>
  <si>
    <t>STM32G081RBTx</t>
  </si>
  <si>
    <t>STM32F412G-DISCO</t>
  </si>
  <si>
    <t>STM32G0C1E-EV</t>
  </si>
  <si>
    <t>STM32G0C1VETx</t>
  </si>
  <si>
    <t>STM32F413H-DISCO</t>
  </si>
  <si>
    <t>STM32G474E-EVAL</t>
  </si>
  <si>
    <t>STM32G474QETx</t>
  </si>
  <si>
    <t>STM32F429I-DISCO</t>
  </si>
  <si>
    <t>STM32G474E-EVAL1</t>
  </si>
  <si>
    <t>STM32F429I-DISC1</t>
  </si>
  <si>
    <t>STM32G484E-EVAL</t>
  </si>
  <si>
    <t>STM32G484QETx</t>
  </si>
  <si>
    <t>STM32F469I-DISCO</t>
  </si>
  <si>
    <t>STM32F469NIHx</t>
  </si>
  <si>
    <t>STM32H743I-EVAL</t>
  </si>
  <si>
    <t>STM32H743IHG</t>
  </si>
  <si>
    <t>STM32F723E-DISCO</t>
  </si>
  <si>
    <t>STM32F723IEKx</t>
  </si>
  <si>
    <t>STM32H743I-EVAL2</t>
  </si>
  <si>
    <t>STM32F7308-DK</t>
  </si>
  <si>
    <t>STM32F730I8Kx</t>
  </si>
  <si>
    <t>STM32H747I-EVAL</t>
  </si>
  <si>
    <t>STM32H757XIHx</t>
  </si>
  <si>
    <t>STM32F746G-DISCO</t>
  </si>
  <si>
    <t>STM32F746NGHx</t>
  </si>
  <si>
    <t>STM32H753I-EVAL</t>
  </si>
  <si>
    <t>STM32H753IHG</t>
  </si>
  <si>
    <t>STM32F746G-DISCO (CU2)</t>
  </si>
  <si>
    <t>STM32H753I-EVAL2</t>
  </si>
  <si>
    <t>STM32H743XIHx</t>
  </si>
  <si>
    <t>F8</t>
  </si>
  <si>
    <t>STM32F746G-DISCO (CU4)</t>
  </si>
  <si>
    <t>STM32H757I-EVAL</t>
  </si>
  <si>
    <t>STM32F7508-DK</t>
  </si>
  <si>
    <t>STM32F750N8Hx</t>
  </si>
  <si>
    <t>H8</t>
  </si>
  <si>
    <t>STM32H7B3I-EVAL</t>
  </si>
  <si>
    <t>STM32H7B3LIHxQ</t>
  </si>
  <si>
    <t>STM32F769I-DISC1</t>
  </si>
  <si>
    <t>STM32F769NIHx</t>
  </si>
  <si>
    <t>STM32L073Z-EVAL</t>
  </si>
  <si>
    <t>STM32L073ZT</t>
  </si>
  <si>
    <t>STM32F769I-DISCO</t>
  </si>
  <si>
    <t>STM32L152D-EVAL</t>
  </si>
  <si>
    <t>STM32L152VB</t>
  </si>
  <si>
    <t>STM32F769I-DISCO (AU1)</t>
  </si>
  <si>
    <t>STM32L476G-EVAL</t>
  </si>
  <si>
    <t>STM32L476GT</t>
  </si>
  <si>
    <t>STM32G0316-DISCO</t>
  </si>
  <si>
    <t>STM32G031J6Mx</t>
  </si>
  <si>
    <t>STM32L4R9I-EVAL</t>
  </si>
  <si>
    <t>STM32L4R9AIIx</t>
  </si>
  <si>
    <t>STM32G071B-DISCO</t>
  </si>
  <si>
    <t>STM32L552E-EV</t>
  </si>
  <si>
    <t>STM32H573I-DK (MT3)</t>
  </si>
  <si>
    <t>ES32H573IIK3Q</t>
  </si>
  <si>
    <t>MPU</t>
  </si>
  <si>
    <t>STM32MP157A-EV1</t>
  </si>
  <si>
    <t>STM32MP157AAAx</t>
  </si>
  <si>
    <t>STM32H573I-DK (MR1)</t>
  </si>
  <si>
    <t>ST32H573IIK3U</t>
  </si>
  <si>
    <t>STM32MP157C-EV1</t>
  </si>
  <si>
    <t>STM32MP157CAAx</t>
  </si>
  <si>
    <t>STM32H725G-DK</t>
  </si>
  <si>
    <t>STM32H725IGK6</t>
  </si>
  <si>
    <t>STM32MP157D-EV1</t>
  </si>
  <si>
    <t>STM32H735G-DK</t>
  </si>
  <si>
    <t>STM32H735IGK6</t>
  </si>
  <si>
    <t>STM32MP157F-EV1</t>
  </si>
  <si>
    <t>STM32MP157FAAx</t>
  </si>
  <si>
    <t>STM32H745I-DISCO</t>
  </si>
  <si>
    <t>STM32H745XIHx</t>
  </si>
  <si>
    <t>STM32MP257F-EV1 (MR1)</t>
  </si>
  <si>
    <t>STM32MP257F1$MR1</t>
  </si>
  <si>
    <t>STM32H747I-DISC1</t>
  </si>
  <si>
    <t>STM32H747XIHx</t>
  </si>
  <si>
    <t>STM32MP257F-EV1 (MR2)</t>
  </si>
  <si>
    <t>STM32MP257F1$MR2</t>
  </si>
  <si>
    <t>STM32H747I-DISCO</t>
  </si>
  <si>
    <t>STM32MP257F-EV1 (MR5)</t>
  </si>
  <si>
    <t>STM32MP257F1$MR5</t>
  </si>
  <si>
    <t>STM32H747I-DISCO (AT2)</t>
  </si>
  <si>
    <t>STM32U575I-EV</t>
  </si>
  <si>
    <t>STM32U575AII6Q</t>
  </si>
  <si>
    <t>STM32H747I-DISCO (AT3)</t>
  </si>
  <si>
    <t>STM32H750B-DK</t>
  </si>
  <si>
    <t xml:space="preserve">              </t>
  </si>
  <si>
    <t>STEVAL Kits</t>
  </si>
  <si>
    <t>STM32H7B3I-DK</t>
  </si>
  <si>
    <t>STM32H7B3I-DK (AT4)</t>
  </si>
  <si>
    <t>STEVAL-2STPD01</t>
  </si>
  <si>
    <t>STPD01PUR</t>
  </si>
  <si>
    <t>STM32H7S78-DK (KT3)</t>
  </si>
  <si>
    <t>ES32H7S7L8H6HL</t>
  </si>
  <si>
    <t>STEVAL-55G0MBI1</t>
  </si>
  <si>
    <t>n/a</t>
  </si>
  <si>
    <t>STM32H7S78-DK (KT4)</t>
  </si>
  <si>
    <t>STEVAL-55G1MBI1</t>
  </si>
  <si>
    <t>STM32H7S78-DK (KR1)</t>
  </si>
  <si>
    <t>STM32H7S7L8H6HU</t>
  </si>
  <si>
    <t>STEVAL-56G3MAI1</t>
  </si>
  <si>
    <t>STM32L0538-DISCO</t>
  </si>
  <si>
    <t>STM32L053C8Tx</t>
  </si>
  <si>
    <t>STEVAL-66GYMAI1</t>
  </si>
  <si>
    <t>STM32L100C-DISCO</t>
  </si>
  <si>
    <t>STM32L100RCTx</t>
  </si>
  <si>
    <t>STEVAL-ASTRA1B</t>
  </si>
  <si>
    <t>STM32WB5MMG</t>
  </si>
  <si>
    <t>STM32L152C-DISCO</t>
  </si>
  <si>
    <t>STM32L152RCTx</t>
  </si>
  <si>
    <t>STEVAL-BCN002V1B</t>
  </si>
  <si>
    <t>BlueNRG-2</t>
  </si>
  <si>
    <t>STM32L-DISCOVERY</t>
  </si>
  <si>
    <t>STM32L152RBTx</t>
  </si>
  <si>
    <t>STEVAL-BCNKT01V1</t>
  </si>
  <si>
    <t>STM32F446</t>
  </si>
  <si>
    <t>STM32L476G-DISCO</t>
  </si>
  <si>
    <t>STM32L476VGTx</t>
  </si>
  <si>
    <t>STEVAL-BFA001V1B</t>
  </si>
  <si>
    <t>STM32F469AI</t>
  </si>
  <si>
    <t>STM32L496G-DISCO</t>
  </si>
  <si>
    <t>STEVAL-BFA001V2B</t>
  </si>
  <si>
    <t>STM32L4P5G-DK</t>
  </si>
  <si>
    <t>STM32L4P5AGIxP</t>
  </si>
  <si>
    <t>STEVAL-CAM-M0I1</t>
  </si>
  <si>
    <t>STM32L4R9I-DISCO</t>
  </si>
  <si>
    <t>STEVAL-CCA058V1</t>
  </si>
  <si>
    <t>STM32L562E-DK</t>
  </si>
  <si>
    <t>STM32L562QEIxQ</t>
  </si>
  <si>
    <t>STEVAL-CTM011V1</t>
  </si>
  <si>
    <t>STM32N6570-DK (CR2) Cut 1.1</t>
  </si>
  <si>
    <t>ES2N657X0H3</t>
  </si>
  <si>
    <t>STEVAL-FCU001V2</t>
  </si>
  <si>
    <t>STM32N6570-DK (CR4) Cut 1.1</t>
  </si>
  <si>
    <t>STEVAL-FKI868V1</t>
  </si>
  <si>
    <t>STM32N6570-DK (CR5) Cut 2.0</t>
  </si>
  <si>
    <t>STEVAL-IDP005V1</t>
  </si>
  <si>
    <t>STM32F469AIYx</t>
  </si>
  <si>
    <t>STM32N6570-DK (CR1) Cut 2.0</t>
  </si>
  <si>
    <t>STEVAL-IDP005V2</t>
  </si>
  <si>
    <t>STM32U083C-DK (KS2)</t>
  </si>
  <si>
    <t>ES32U083MCT6</t>
  </si>
  <si>
    <t>STEVAL-IHM036V1</t>
  </si>
  <si>
    <t>STM32F100C6T6B</t>
  </si>
  <si>
    <t>STM32U083C-DK (KS1)</t>
  </si>
  <si>
    <t>STM32U083MCT7</t>
  </si>
  <si>
    <t>STEVAL-IHM038V1</t>
  </si>
  <si>
    <t>STM32U599J-DK (AT4)</t>
  </si>
  <si>
    <t>STM32U599NJH6Q</t>
  </si>
  <si>
    <t>STEVAL-LLL004V2</t>
  </si>
  <si>
    <t>STM32F0</t>
  </si>
  <si>
    <t>STM32U599J-DK (AT7)</t>
  </si>
  <si>
    <t>STEVAL-LLL011V1</t>
  </si>
  <si>
    <t>STM32L073</t>
  </si>
  <si>
    <t>STM32U599J-DK (AT8)</t>
  </si>
  <si>
    <t>STEVAL-LLL009V1</t>
  </si>
  <si>
    <t>STM32F334</t>
  </si>
  <si>
    <t>STM32U5A9J-DK (AT1)</t>
  </si>
  <si>
    <t>STM32U5A9NJH6Q</t>
  </si>
  <si>
    <t>STEVAL-MIC001</t>
  </si>
  <si>
    <t>STM32U5A9J-DK (AT2)</t>
  </si>
  <si>
    <t>STEVAL-MIC008A</t>
  </si>
  <si>
    <t>STM32U5G9J-DK1 (AT1)</t>
  </si>
  <si>
    <t>STM32U5G9NJH6QU</t>
  </si>
  <si>
    <t>STEVAL-MKI109V3</t>
  </si>
  <si>
    <t>STM32U5G9J-DK2 (AR1)</t>
  </si>
  <si>
    <t>STM32U5G9ZJT6QU</t>
  </si>
  <si>
    <t>STEVAL-MKI207V1</t>
  </si>
  <si>
    <t>STM32U5G9J-DK2 (AR2)</t>
  </si>
  <si>
    <t>ES32U5G9ZJT6Q</t>
  </si>
  <si>
    <t>STEVAL-MKI208V1K</t>
  </si>
  <si>
    <t>STM32WB5MM-DK</t>
  </si>
  <si>
    <t>STM32WB5MMGH6</t>
  </si>
  <si>
    <t>STEVAL-MKI245KA</t>
  </si>
  <si>
    <t>STM32WBA55G-DK1 (DR1)</t>
  </si>
  <si>
    <t>STM32WA55CGU6W</t>
  </si>
  <si>
    <t>STEVAL-MKBOXPROA</t>
  </si>
  <si>
    <t>STM32U585AII6</t>
  </si>
  <si>
    <t>STM32WBA65I-DK1 (DR2)</t>
  </si>
  <si>
    <t>STM32WA65</t>
  </si>
  <si>
    <t>STEVAL-MKSBOX1V1</t>
  </si>
  <si>
    <t>STM32L4R9ZIJx</t>
  </si>
  <si>
    <t>STM32MP135F-DK</t>
  </si>
  <si>
    <t>STM32MP135FAF7</t>
  </si>
  <si>
    <t>STEVAL-PDETECT1</t>
  </si>
  <si>
    <t>STM32MP157A-DK1</t>
  </si>
  <si>
    <t>STM32MP157AACx</t>
  </si>
  <si>
    <t>STEVAL-PROTEUS1</t>
  </si>
  <si>
    <t>STM32MP157C-DK2</t>
  </si>
  <si>
    <t>STM32MP157CACx</t>
  </si>
  <si>
    <t>STEVAL-SILPLC01</t>
  </si>
  <si>
    <t>STM32MP157D-DK1</t>
  </si>
  <si>
    <t>STM32MP157DAC1</t>
  </si>
  <si>
    <t>STEVAL-SMARTAG2</t>
  </si>
  <si>
    <t>STM32MP157F-DK2</t>
  </si>
  <si>
    <t>STM32MP157FAC1</t>
  </si>
  <si>
    <t>STEVAL-SPIN3201</t>
  </si>
  <si>
    <t>STM32MP257F-DK ($AR1)</t>
  </si>
  <si>
    <t>STM32MP257F</t>
  </si>
  <si>
    <t>STEVAL-STLKT01V1</t>
  </si>
  <si>
    <t>STM32L476JGY</t>
  </si>
  <si>
    <t>STEVAL-STWINBX1</t>
  </si>
  <si>
    <t>STM32U585</t>
  </si>
  <si>
    <t>STEVAL-STWINKT1A</t>
  </si>
  <si>
    <t>STEVAL-STWINKT1B</t>
  </si>
  <si>
    <t>STEVAL-USBPD27S</t>
  </si>
  <si>
    <t>STEVAL-XPLM01CPL</t>
  </si>
  <si>
    <t>Temporary</t>
  </si>
  <si>
    <t>Grand Total</t>
  </si>
  <si>
    <t>Board Name</t>
  </si>
  <si>
    <t>On Site
(total)</t>
  </si>
  <si>
    <t>Not on site
(total)</t>
  </si>
  <si>
    <t>Marie-Christine
Cayale</t>
  </si>
  <si>
    <t>Emmanuel
Combette</t>
  </si>
  <si>
    <t>Frederic
Chibois</t>
  </si>
  <si>
    <t>Cedric
Lecoutre</t>
  </si>
  <si>
    <t>Frantz
Lefrere</t>
  </si>
  <si>
    <t>Alan
Porte</t>
  </si>
  <si>
    <t>Jocelyn
Ricard</t>
  </si>
  <si>
    <t>Nicolas
Santini</t>
  </si>
  <si>
    <t>Christophe
Vrignaud</t>
  </si>
  <si>
    <t>Pape
Libasse</t>
  </si>
  <si>
    <t>Aniss
Abdellaoui</t>
  </si>
  <si>
    <t>Kunliang
Yao</t>
  </si>
  <si>
    <t>Antoine
Pradoux</t>
  </si>
  <si>
    <t>Corinna Babin</t>
  </si>
  <si>
    <t>Amina Zarroug</t>
  </si>
  <si>
    <t>Vincent
Leynaert</t>
  </si>
  <si>
    <t>Laurent
Beyly</t>
  </si>
  <si>
    <t>Muhammad SHAHNAWAZ</t>
  </si>
  <si>
    <t>Olivier
Vilaret</t>
  </si>
  <si>
    <t>Benjamin
Baratte</t>
  </si>
  <si>
    <t>Maurice
Bohbot</t>
  </si>
  <si>
    <t>Matthieu Durnerin</t>
  </si>
  <si>
    <t>Benjamin
Colson</t>
  </si>
  <si>
    <t>Ronan
Gabou</t>
  </si>
  <si>
    <t>Fatia FEDAOUCHE</t>
  </si>
  <si>
    <t>Olivier
POTHIER</t>
  </si>
  <si>
    <t>Solofo</t>
  </si>
  <si>
    <t>Pascal Richard</t>
  </si>
  <si>
    <t>Pierre Leblond</t>
  </si>
  <si>
    <t>Stephane Pellerin</t>
  </si>
  <si>
    <t>Fabrice Gendreau</t>
  </si>
  <si>
    <t>Nucleo 32 Pins</t>
  </si>
  <si>
    <t>Nucleo 64 pins</t>
  </si>
  <si>
    <t>Nucleo 144 pins</t>
  </si>
  <si>
    <t>Nucleo Pack</t>
  </si>
  <si>
    <t>Discovery Board</t>
  </si>
  <si>
    <t>Evaluation Board</t>
  </si>
  <si>
    <t>STEVAL Kit</t>
  </si>
  <si>
    <t>Expansion Packs</t>
  </si>
  <si>
    <t>Furnitures</t>
  </si>
  <si>
    <t>Total (individual)</t>
  </si>
  <si>
    <t>CLINAME</t>
  </si>
  <si>
    <t>DATETIME</t>
  </si>
  <si>
    <t>DONEBY</t>
  </si>
  <si>
    <t>IPADDRESS</t>
  </si>
  <si>
    <t>APPVER</t>
  </si>
  <si>
    <t>RANDOM</t>
  </si>
  <si>
    <t>CHECKSUM</t>
  </si>
  <si>
    <t>ଢ଼୶ୋ୴୩୻୻ୱ୮ୱ୭୬</t>
  </si>
  <si>
    <t>ାଷ଺ଷ଺ସହିନନହହୂ଻଻୉୕ନର୏୕ଡ଼ଳ଺ୂସ଱</t>
  </si>
  <si>
    <t>୛ଡ଼୤୚ୱ୫୩୺୬୲</t>
  </si>
  <si>
    <t>୘୉୚ୋୟ୔଻ଽସି</t>
  </si>
  <si>
    <t>଼ଶସଶ଺ଶସ</t>
  </si>
  <si>
    <t>଼଺଼଼</t>
  </si>
  <si>
    <t>ᥫᦄᥙᦂ᥷ᦉᦉ᥿᥼᥿᥻᥺</t>
  </si>
  <si>
    <t>᥏᥅᥇᥎᥅᥈᥆᥈᥇ᤶᤶ᥇᥉ᥐ᥇᥈ᤶ᤾ᥝᥣᥪ᥁᥈ᥐ᥆᤿</t>
  </si>
  <si>
    <t>ᥱᥫᦄᥙᦂ᥷ᦉᦉ᥿᥼᥿᥻᥺ᥳᤶᥔᤶᥗᥟᥦᤶ᥾᥷ᦄ᥺ᦅᦌ᥻ᦈ</t>
  </si>
  <si>
    <t>ᥦᥗᥨᥙᥭᥢ᥉᥍᥇᥇</t>
  </si>
  <si>
    <t>᥎᥄᥆᥄᥆᥄᥆</t>
  </si>
  <si>
    <t>᥋᥎᥇᥊</t>
  </si>
  <si>
    <t>Boards</t>
  </si>
  <si>
    <t>NUCLEO-F031K6</t>
  </si>
  <si>
    <t>NUCLEO-F031K6 -1</t>
  </si>
  <si>
    <t>NUCLEO-F031K6 -2</t>
  </si>
  <si>
    <t>NUCLEO-F031K6 -3</t>
  </si>
  <si>
    <t>NUCLEO-F031K6 -4</t>
  </si>
  <si>
    <t>NUCLEO-F031K6 -5</t>
  </si>
  <si>
    <t>NUCLEO-F031K6 -6</t>
  </si>
  <si>
    <t>NUCLEO-F042K6 -1</t>
  </si>
  <si>
    <t>NUCLEO-F042K6 -2</t>
  </si>
  <si>
    <t>NUCLEO-F042K6 -3</t>
  </si>
  <si>
    <t>NUCLEO-F042K6 -4</t>
  </si>
  <si>
    <t>NUCLEO-F042K6 -5</t>
  </si>
  <si>
    <t>NUCLEO-F042K6 -6</t>
  </si>
  <si>
    <t>NUCLEO-F303K8 - 1</t>
  </si>
  <si>
    <t>NUCLEO-F303K8 - 2</t>
  </si>
  <si>
    <t>NUCLEO-F303K8 - 3</t>
  </si>
  <si>
    <t>NUCLEO-F303K8 - 4</t>
  </si>
  <si>
    <t>NUCLEO-G031K8 - 1</t>
  </si>
  <si>
    <t>NUCLEO-G031K8 - 2</t>
  </si>
  <si>
    <t>NUCLEO-G031K8 - 3</t>
  </si>
  <si>
    <t>NUCLEO-G031K8 - 4</t>
  </si>
  <si>
    <t>NUCLEO-G031K8 - 5</t>
  </si>
  <si>
    <t>NUCLEO-G031K8 - 6</t>
  </si>
  <si>
    <t>NUCLEO-G031K8 - 7</t>
  </si>
  <si>
    <t>NUCLEO-G031K8 - 8</t>
  </si>
  <si>
    <t>NUCLEO-G031K8 - 9</t>
  </si>
  <si>
    <t>NUCLEO-G031K8 - 10</t>
  </si>
  <si>
    <t>NUCLEO-G031K8 - 11</t>
  </si>
  <si>
    <t>NUCLEO-G031K8 - 12</t>
  </si>
  <si>
    <t>NUCLEO-G431K8 - 1</t>
  </si>
  <si>
    <t>NUCLEO-G431K8 - 2</t>
  </si>
  <si>
    <t>NUCLEO-G431K8 - 3</t>
  </si>
  <si>
    <t>NUCLEO-G431K8 - 4</t>
  </si>
  <si>
    <t>NUCLEO-L011K4 - 1</t>
  </si>
  <si>
    <t>NUCLEO-L011K4 - 2</t>
  </si>
  <si>
    <t>NUCLEO-L011K4 - 3</t>
  </si>
  <si>
    <t>NUCLEO-L011K4 - 4</t>
  </si>
  <si>
    <t>NUCLEO-L031K6 - 1</t>
  </si>
  <si>
    <t>NUCLEO-L031K6 - 2</t>
  </si>
  <si>
    <t>NUCLEO-L031K6 - 3</t>
  </si>
  <si>
    <t>NUCLEO-L031K6 - 4</t>
  </si>
  <si>
    <t>NUCLEO-L031K6 - 5</t>
  </si>
  <si>
    <t>NUCLEO-L031K6 - 6</t>
  </si>
  <si>
    <t>NUCLEO-L031K6 - 7</t>
  </si>
  <si>
    <t>NUCLEO-L031K6 - 8</t>
  </si>
  <si>
    <t>NUCLEO-L031K6 - 9</t>
  </si>
  <si>
    <t>NUCLEO-L031K6 - 10</t>
  </si>
  <si>
    <t>NUCLEO-L031K6 - 11</t>
  </si>
  <si>
    <t>NUCLEO-L031K6 - 12</t>
  </si>
  <si>
    <t>NUCLEO-L031K6 - 13</t>
  </si>
  <si>
    <t>NUCLEO-L412KB - 1</t>
  </si>
  <si>
    <t>NUCLEO-L412KB - 2</t>
  </si>
  <si>
    <t>NUCLEO-L412KB - 3</t>
  </si>
  <si>
    <t>NUCLEO-L412KB - 4</t>
  </si>
  <si>
    <t>NUCLEO-L412KB - 5</t>
  </si>
  <si>
    <t>NUCLEO-L412KB - 6</t>
  </si>
  <si>
    <t>NUCLEO-L412KB - 7</t>
  </si>
  <si>
    <t>NUCLEO-L432KC - 1</t>
  </si>
  <si>
    <t>NUCLEO-L432KC - 2</t>
  </si>
  <si>
    <t>NUCLEO-L432KC - 3</t>
  </si>
  <si>
    <t>NUCLEO-L432KC - 4</t>
  </si>
  <si>
    <t>NUCLEO-L432KC - 5</t>
  </si>
  <si>
    <t>NUCLEO-L432KC - 6</t>
  </si>
  <si>
    <t>NUCLEO-L432KC - 7</t>
  </si>
  <si>
    <t>NUCLEO-L432KC - 8</t>
  </si>
  <si>
    <t>NUCLEO-L432KC - 9</t>
  </si>
  <si>
    <t>NUCLEO-L432KC - 10</t>
  </si>
  <si>
    <t>Individual boards</t>
  </si>
  <si>
    <t>ID</t>
  </si>
  <si>
    <t>User</t>
  </si>
  <si>
    <t>On-site (Y/N)</t>
  </si>
  <si>
    <t>NUCLEO-C031C6 - 1</t>
  </si>
  <si>
    <t>NUCLEO-C031C6 - 2</t>
  </si>
  <si>
    <t>NUCLEO-C031C6 - 3</t>
  </si>
  <si>
    <t>NUCLEO-C031C6 - 4</t>
  </si>
  <si>
    <t>NUCLEO-C031C6 - 5</t>
  </si>
  <si>
    <t>NUCLEO-C031C6 - 6</t>
  </si>
  <si>
    <t>NUCLEO-C031C6 - 7</t>
  </si>
  <si>
    <t>NUCLEO-C031C6 - 8</t>
  </si>
  <si>
    <t>NUCLEO-C031C6 - 9</t>
  </si>
  <si>
    <t>NUCLEO-C031C6 - 10</t>
  </si>
  <si>
    <t>NUCLEO-C031C6 - 11</t>
  </si>
  <si>
    <t>NUCLEO-C071RB (KS1) - 1</t>
  </si>
  <si>
    <t>NUCLEO-C071RB (KS1) - 2</t>
  </si>
  <si>
    <t>NUCLEO-C071RB (KS1) - 3</t>
  </si>
  <si>
    <t>NUCLEO-C071RB (KS1) - 4</t>
  </si>
  <si>
    <t>NUCLEO-C071RB (KS1) - 5</t>
  </si>
  <si>
    <t>NUCLEO-C071RB (KS1) - 6</t>
  </si>
  <si>
    <t>NUCLEO-C051RB (KS1) - 1</t>
  </si>
  <si>
    <t>NUCLEO-C051RB (KS1) - 2</t>
  </si>
  <si>
    <t>NUCLEO-C051RB (KS1) - 3</t>
  </si>
  <si>
    <t>NUCLEO-C051RB (KS1) - 4</t>
  </si>
  <si>
    <t>NUCLEO-C092RC (KU1) - 1</t>
  </si>
  <si>
    <t>NUCLEO-C092RC (KU1) - 2</t>
  </si>
  <si>
    <t>NUCLEO-C092RC (KU1) - 3</t>
  </si>
  <si>
    <t>NUCLEO-C092RC (KU1) - 4</t>
  </si>
  <si>
    <t>NUCLEO-C562RE (Rev Z) - 1</t>
  </si>
  <si>
    <t>NUCLEO-C562RE (Rev Z) - 2</t>
  </si>
  <si>
    <t>NUCLEO-C562RE (Rev Z) - 3</t>
  </si>
  <si>
    <t>NUCLEO-F030R8 - 1</t>
  </si>
  <si>
    <t>NUCLEO-F030R8 - 2</t>
  </si>
  <si>
    <t>NUCLEO-F030R8 - 3</t>
  </si>
  <si>
    <t>NUCLEO-F030R8 - 4</t>
  </si>
  <si>
    <t>NUCLEO-F030R8 - 5</t>
  </si>
  <si>
    <t>NUCLEO-F030R8 - 6</t>
  </si>
  <si>
    <t>NUCLEO-F070RB - 1</t>
  </si>
  <si>
    <t>NUCLEO-F070RB - 2</t>
  </si>
  <si>
    <t>NUCLEO-F070RB - 3</t>
  </si>
  <si>
    <t>NUCLEO-F072RB - 1</t>
  </si>
  <si>
    <t>NUCLEO-F072RB - 2</t>
  </si>
  <si>
    <t>NUCLEO-F072RB - 3</t>
  </si>
  <si>
    <t>NUCLEO-F072RB - 4</t>
  </si>
  <si>
    <t>NUCLEO-F072RB - 5</t>
  </si>
  <si>
    <t>NUCLEO-F072RB - 6</t>
  </si>
  <si>
    <t>NUCLEO-F072RB - 7</t>
  </si>
  <si>
    <t>NUCLEO-F072RB - 8</t>
  </si>
  <si>
    <t>NUCLEO-F091RC - 1</t>
  </si>
  <si>
    <t>NUCLEO-F091RC - 2</t>
  </si>
  <si>
    <t>NUCLEO-F091RC - 3</t>
  </si>
  <si>
    <t>NUCLEO-F091RC - 4</t>
  </si>
  <si>
    <t>NUCLEO-F091RC - 5</t>
  </si>
  <si>
    <t>NUCLEO-F091RC - 6</t>
  </si>
  <si>
    <t>NUCLEO-F091RC - 7</t>
  </si>
  <si>
    <t>NUCLEO-F103RB - 1</t>
  </si>
  <si>
    <t>NUCLEO-F103RB - 2</t>
  </si>
  <si>
    <t>NUCLEO-F103RB - 3</t>
  </si>
  <si>
    <t>NUCLEO-F103RB - 4</t>
  </si>
  <si>
    <t>NUCLEO-F103RB - 5</t>
  </si>
  <si>
    <t>NUCLEO-F103RB - 6</t>
  </si>
  <si>
    <t>NUCLEO-F103RB - 7</t>
  </si>
  <si>
    <t>NUCLEO-F302R8 - 1</t>
  </si>
  <si>
    <t>NUCLEO-F302R8 - 2</t>
  </si>
  <si>
    <t>NUCLEO-F302R8 - 3</t>
  </si>
  <si>
    <t>NUCLEO-F302R8 - 4</t>
  </si>
  <si>
    <t>NUCLEO-F302R8 - 5</t>
  </si>
  <si>
    <t>NUCLEO-F303RE - 1</t>
  </si>
  <si>
    <t>NUCLEO-F303RE - 2</t>
  </si>
  <si>
    <t>NUCLEO-F303RE - 3</t>
  </si>
  <si>
    <t>NUCLEO-F303RE - 4</t>
  </si>
  <si>
    <t>NUCLEO-F334R8 - 1</t>
  </si>
  <si>
    <t>NUCLEO-F334R8 - 2</t>
  </si>
  <si>
    <t>NUCLEO-F334R8 - 3</t>
  </si>
  <si>
    <t>NUCLEO-F334R8 - 4</t>
  </si>
  <si>
    <t>NUCLEO-F401RE - 1</t>
  </si>
  <si>
    <t>NUCLEO-F401RE - 2</t>
  </si>
  <si>
    <t>NUCLEO-F401RE - 3</t>
  </si>
  <si>
    <t>NUCLEO-F401RE - 4</t>
  </si>
  <si>
    <t>NUCLEO-F401RE - 5</t>
  </si>
  <si>
    <t>NUCLEO-F401RE - 6</t>
  </si>
  <si>
    <t>NUCLEO-F401RE - 7</t>
  </si>
  <si>
    <t>NUCLEO-F401RE - 8</t>
  </si>
  <si>
    <t>NUCLEO-F401RE - 9</t>
  </si>
  <si>
    <t>NUCLEO-F401RE - 10</t>
  </si>
  <si>
    <t>NUCLEO-F410RB - 1</t>
  </si>
  <si>
    <t>NUCLEO-F410RB - 2</t>
  </si>
  <si>
    <t>NUCLEO-F410RB - 3</t>
  </si>
  <si>
    <t>NUCLEO-F410RB - 4</t>
  </si>
  <si>
    <t>NUCLEO-F410RB (AU1) - 1</t>
  </si>
  <si>
    <t>NUCLEO-F410RB (AU1) - 2</t>
  </si>
  <si>
    <t>NUCLEO-F410RB (AU1) - 3</t>
  </si>
  <si>
    <t>NUCLEO-F410RB (AU1) - 4</t>
  </si>
  <si>
    <t>F5?</t>
  </si>
  <si>
    <t>C1?</t>
  </si>
  <si>
    <t>NUCLEO-F411RE- 1</t>
  </si>
  <si>
    <t>NUCLEO-F411RE- 2</t>
  </si>
  <si>
    <t>NUCLEO-F411RE- 3</t>
  </si>
  <si>
    <t>NUCLEO-F411RE- 4</t>
  </si>
  <si>
    <t>NUCLEO-F411RE- 5</t>
  </si>
  <si>
    <t>NUCLEO-F411RE- 6</t>
  </si>
  <si>
    <t>NUCLEO-F411RE- 7</t>
  </si>
  <si>
    <t>NUCLEO-F411RE- 8</t>
  </si>
  <si>
    <t>NUCLEO-F411RE- 9</t>
  </si>
  <si>
    <t>NUCLEO-F411RE- 10</t>
  </si>
  <si>
    <t>NUCLEO-F446RE - 1</t>
  </si>
  <si>
    <t>NUCLEO-F446RE - 2</t>
  </si>
  <si>
    <t>NUCLEO-F446RE - 3</t>
  </si>
  <si>
    <t>NUCLEO-F446RE - 4</t>
  </si>
  <si>
    <t>NUCLEO-F446RE - 5</t>
  </si>
  <si>
    <t>NUCLEO-F446RE - 6</t>
  </si>
  <si>
    <t>NUCLEO-G070RB - 1</t>
  </si>
  <si>
    <t>NUCLEO-G070RB - 2</t>
  </si>
  <si>
    <t>NUCLEO-G070RB - 3</t>
  </si>
  <si>
    <t>NUCLEO-G070RB - 4</t>
  </si>
  <si>
    <t>NUCLEO-G070RB - 5</t>
  </si>
  <si>
    <t>NUCLEO-G070RB - 6</t>
  </si>
  <si>
    <t>NUCLEO-G070RB - 7</t>
  </si>
  <si>
    <t>NUCLEO-G071RB - 1</t>
  </si>
  <si>
    <t>NUCLEO-G071RB - 2</t>
  </si>
  <si>
    <t>NUCLEO-G071RB - 3</t>
  </si>
  <si>
    <t>NUCLEO-G071RB - 4</t>
  </si>
  <si>
    <t>NUCLEO-G071RB - 5</t>
  </si>
  <si>
    <t>NUCLEO-G071RB - 6</t>
  </si>
  <si>
    <t>NUCLEO-G071RB - 7</t>
  </si>
  <si>
    <t>NUCLEO-G071RB - 8</t>
  </si>
  <si>
    <t>NUCLEO-G071RB - 9</t>
  </si>
  <si>
    <t>NUCLEO-G071RB - 10</t>
  </si>
  <si>
    <t>NUCLEO-G071RB - 11</t>
  </si>
  <si>
    <t>NUCLEO-G071RB - 12</t>
  </si>
  <si>
    <t>NUCLEO-G071RB - 13</t>
  </si>
  <si>
    <t>NUCLEO-G071RB - 14</t>
  </si>
  <si>
    <t>NUCLEO-G071RB - 15</t>
  </si>
  <si>
    <t>NUCLEO-G0B1RE - 1</t>
  </si>
  <si>
    <t>NUCLEO-G0B1RE - 2</t>
  </si>
  <si>
    <t>NUCLEO-G0B1RE - 3</t>
  </si>
  <si>
    <t>NUCLEO-G0B1RE - 4</t>
  </si>
  <si>
    <t>NUCLEO-G0B1RE - 5</t>
  </si>
  <si>
    <t>NUCLEO-G0B1RE - 6</t>
  </si>
  <si>
    <t>NUCLEO-G0B1RE - 7</t>
  </si>
  <si>
    <t>NUCLEO-G0B1RE - 8</t>
  </si>
  <si>
    <t>NUCLEO-G0B1RE - 9</t>
  </si>
  <si>
    <t>NUCLEO-G0B1RE - 10</t>
  </si>
  <si>
    <t>NUCLEO-G0B1RE - 11</t>
  </si>
  <si>
    <t>NUCLEO-G0B1RE - 12</t>
  </si>
  <si>
    <t>NUCLEO-G0B1RE - 13</t>
  </si>
  <si>
    <t>NUCLEO-G431RB - 1</t>
  </si>
  <si>
    <t>NUCLEO-G431RB - 2</t>
  </si>
  <si>
    <t>NUCLEO-G431RB - 3</t>
  </si>
  <si>
    <t>NUCLEO-G431RB - 4</t>
  </si>
  <si>
    <t>NUCLEO-G431RB - 5</t>
  </si>
  <si>
    <t>NUCLEO-G431RB - 6</t>
  </si>
  <si>
    <t>NUCLEO-G431RB - 7</t>
  </si>
  <si>
    <t>NUCLEO-G431RB - 8</t>
  </si>
  <si>
    <t>NUCLEO-G431RB - 9</t>
  </si>
  <si>
    <t>NUCLEO-G474RE - 1</t>
  </si>
  <si>
    <t>NUCLEO-G474RE - 2</t>
  </si>
  <si>
    <t>NUCLEO-G474RE - 3</t>
  </si>
  <si>
    <t>NUCLEO-G474RE - 4</t>
  </si>
  <si>
    <t>NUCLEO-G474RE - 5</t>
  </si>
  <si>
    <t>NUCLEO-G474RE - 6</t>
  </si>
  <si>
    <t>NUCLEO-G474RE - 7</t>
  </si>
  <si>
    <t>NUCLEO-G474RE - 8</t>
  </si>
  <si>
    <t>NUCLEO-G474RE - 9</t>
  </si>
  <si>
    <t>NUCLEO-G474RE - 10</t>
  </si>
  <si>
    <t>NUCLEO-G474RE - 11</t>
  </si>
  <si>
    <t>NUCLEO-G491RE - 1</t>
  </si>
  <si>
    <t>NUCLEO-G491RE - 2</t>
  </si>
  <si>
    <t>NUCLEO-G491RE - 3</t>
  </si>
  <si>
    <t>NUCLEO-G491RE - 4</t>
  </si>
  <si>
    <t>NUCLEO-G491RE - 5</t>
  </si>
  <si>
    <t>NUCLEO-H503RB - 1</t>
  </si>
  <si>
    <t>NUCLEO-H503RB - 2</t>
  </si>
  <si>
    <t>NUCLEO-H503RB - 3</t>
  </si>
  <si>
    <t>NUCLEO-H503RB - 4</t>
  </si>
  <si>
    <t>NUCLEO-H503RB - 5</t>
  </si>
  <si>
    <t>NUCLEO-H503RB - 6</t>
  </si>
  <si>
    <t>NUCLEO-H503RB - 7</t>
  </si>
  <si>
    <t>NUCLEO-H503RB - 8</t>
  </si>
  <si>
    <t>NUCLEO-H503RB - 9</t>
  </si>
  <si>
    <t>NUCLEO-U5A5ZJ-Q - 1</t>
  </si>
  <si>
    <t>NUCLEO-U5A5ZJ-Q - 2</t>
  </si>
  <si>
    <t>NUCLEO-U5A5ZJ-Q - 3</t>
  </si>
  <si>
    <t>NUCLEO-U5A5ZJ-Q - 4</t>
  </si>
  <si>
    <t>NUCLEO-U5A5ZJ-Q - 5</t>
  </si>
  <si>
    <t>NUCLEO-U5A5ZJ-Q - 6</t>
  </si>
  <si>
    <t>NUCLEO-U5A5ZJ-Q - 7</t>
  </si>
  <si>
    <t>NUCLEO-U5A5ZJ-Q - 8</t>
  </si>
  <si>
    <t>NUCLEO-U5A5ZJ-Q - 9</t>
  </si>
  <si>
    <t>NUCLEO-U5A5ZJ-Q - 10</t>
  </si>
  <si>
    <t>NUCLEO-U5A5ZJ-Q - 11</t>
  </si>
  <si>
    <t>NUCLEO-U5A5ZJ-Q - 12</t>
  </si>
  <si>
    <t>NUCLEO-U575ZI-Q (AT4) - 1</t>
  </si>
  <si>
    <t>NUCLEO-U575ZI-Q (AT4) - 2</t>
  </si>
  <si>
    <t>NUCLEO-U575ZI-Q (AT3) - 1</t>
  </si>
  <si>
    <t>NUCLEO-U575ZI-Q (AT3) - 2</t>
  </si>
  <si>
    <t>NUCLEO-U575ZI-Q (AT3) - 3</t>
  </si>
  <si>
    <t>NUCLEO-U575ZI-Q (AT3) - 4</t>
  </si>
  <si>
    <t>NUCLEO-U575ZI-Q (AT3) - 5</t>
  </si>
  <si>
    <t>NUCLEO-U575ZI-Q (AT3) - 6</t>
  </si>
  <si>
    <t>NUCLEO-U575ZI-Q (AT3) - 7</t>
  </si>
  <si>
    <t>NUCLEO-U575ZI-Q (AT3) - 8</t>
  </si>
  <si>
    <t>NUCLEO-U575ZI-Q (AT3) - 9</t>
  </si>
  <si>
    <t>NUCLEO-U575ZI-Q (AT3) - 10</t>
  </si>
  <si>
    <t>NUCLEO-U575ZI-Q (AT2) - 1</t>
  </si>
  <si>
    <t>NUCLEO-U575ZI-Q (AT2) - 2</t>
  </si>
  <si>
    <t>NUCLEO-U575ZI-Q (AT2) - 3</t>
  </si>
  <si>
    <t>NUCLEO-U575ZI-Q (AT2) - 4</t>
  </si>
  <si>
    <t>NUCLEO-U575ZI-Q (AT2) - 5</t>
  </si>
  <si>
    <t>NUCLEO-U575ZI-Q (AT2) - 6</t>
  </si>
  <si>
    <t>NUCLEO-U575ZI-Q (AT2) - 7</t>
  </si>
  <si>
    <t>NUCLEO-U575ZI-Q (AT2) - 8</t>
  </si>
  <si>
    <t>NUCLEO-U575ZI-Q (AT1) - 1</t>
  </si>
  <si>
    <t>NUCLEO-U575ZI-Q (AT1) - 2</t>
  </si>
  <si>
    <t>NUCLEO-U575ZI-Q (AT1) - 3</t>
  </si>
  <si>
    <t>NUCLEO-U575ZI-Q (AT1) - 4</t>
  </si>
  <si>
    <t>NUCLEO-U575ZI-Q (AT1) - 5</t>
  </si>
  <si>
    <t>NUCLEO-U575ZI-Q (AT1) - 6</t>
  </si>
  <si>
    <t>NUCLEO-U575ZI-Q (AT1) - 7</t>
  </si>
  <si>
    <t>NUCLEO-U575ZI-Q (AT1) - 8</t>
  </si>
  <si>
    <t>NUCLEO-U575ZI-Q (AT1) - 9</t>
  </si>
  <si>
    <t>NUCLEO-U575ZI-Q (AT1) - 10</t>
  </si>
  <si>
    <t>NUCLEO-U575ZI-Q (AT1) - 11</t>
  </si>
  <si>
    <t>NUCLEO-U575ZI-Q (AT1) - 12</t>
  </si>
  <si>
    <t>NUCLEO-U575ZI-Q (AT1) - 13</t>
  </si>
  <si>
    <t>NUCLEO-N657X0-Q (CR1) - 1</t>
  </si>
  <si>
    <t>NUCLEO-N657X0-Q (CR1) - 2</t>
  </si>
  <si>
    <t>NUCLEO-N657X0-Q (CR1) - 3</t>
  </si>
  <si>
    <t>NUCLEO-N657X0-Q (CR1) - 4</t>
  </si>
  <si>
    <t>NUCLEO-N657X0-Q (CR3) - 1</t>
  </si>
  <si>
    <t>NUCLEO-L552ZE-Q - 1</t>
  </si>
  <si>
    <t>NUCLEO-L552ZE-Q - 2</t>
  </si>
  <si>
    <t>NUCLEO-L552ZE-Q - 3</t>
  </si>
  <si>
    <t>NUCLEO-L552ZE-Q - 4</t>
  </si>
  <si>
    <t>NUCLEO-L552ZE-Q - 5</t>
  </si>
  <si>
    <t>NUCLEO-L552ZE-Q - 6</t>
  </si>
  <si>
    <t>NUCLEO-L552ZE-Q - 7</t>
  </si>
  <si>
    <t>NUCLEO-L552ZE-Q - 8</t>
  </si>
  <si>
    <t>NUCLEO-L552ZE-Q - 9</t>
  </si>
  <si>
    <t>NUCLEO-L552ZE-Q - 10</t>
  </si>
  <si>
    <t>NUCLEO-L552ZE-Q - 11</t>
  </si>
  <si>
    <t>NUCLEO-L4R5ZI-P - 1</t>
  </si>
  <si>
    <t>NUCLEO-L4R5ZI-P - 2</t>
  </si>
  <si>
    <t>NUCLEO-L4R5ZI-P - 3</t>
  </si>
  <si>
    <t>NUCLEO-L4R5ZI-P - 4</t>
  </si>
  <si>
    <t>NUCLEO-L4R5ZI - 1</t>
  </si>
  <si>
    <t>NUCLEO-L4R5ZI - 2</t>
  </si>
  <si>
    <t>NUCLEO-L4R5ZI - 3</t>
  </si>
  <si>
    <t>NUCLEO-L4R5ZI - 4</t>
  </si>
  <si>
    <t>NUCLEO-L4R5ZI - 5</t>
  </si>
  <si>
    <t>NUCLEO-L4P5ZG - 1</t>
  </si>
  <si>
    <t>NUCLEO-L4P5ZG - 2</t>
  </si>
  <si>
    <t>NUCLEO-L4P5ZG - 3</t>
  </si>
  <si>
    <t>NUCLEO-L4P5ZG - 4</t>
  </si>
  <si>
    <t>NUCLEO-L4A6ZG - 1</t>
  </si>
  <si>
    <t>NUCLEO-L4A6ZG - 2</t>
  </si>
  <si>
    <t>NUCLEO-L4A6ZG - 3</t>
  </si>
  <si>
    <t>NUCLEO-L4A6ZG - 4</t>
  </si>
  <si>
    <t>NUCLEO-L4A6ZG - 5</t>
  </si>
  <si>
    <t>NUCLEO-L4A6ZG - 6</t>
  </si>
  <si>
    <t>NUCLEO-L4A6ZG - 7</t>
  </si>
  <si>
    <t>NUCLEO-L4A6ZG - 8</t>
  </si>
  <si>
    <t>NUCLEO-L496ZG-P - 1</t>
  </si>
  <si>
    <t>NUCLEO-L496ZG-P - 2</t>
  </si>
  <si>
    <t>NUCLEO-L496ZG-P - 3</t>
  </si>
  <si>
    <t>NUCLEO-L496ZG-P - 4</t>
  </si>
  <si>
    <t>NUCLEO-L496ZG-P - 5</t>
  </si>
  <si>
    <t>NUCLEO-L496ZG-P - 6</t>
  </si>
  <si>
    <t>NUCLEO-L496ZG - 1</t>
  </si>
  <si>
    <t>NUCLEO-L496ZG - 2</t>
  </si>
  <si>
    <t>NUCLEO-L496ZG - 3</t>
  </si>
  <si>
    <t>NUCLEO-L496ZG - 4</t>
  </si>
  <si>
    <t>NUCLEO-H7S3L8 (KR1) - 1</t>
  </si>
  <si>
    <t>NUCLEO-H7S3L8 (KR1) - 2</t>
  </si>
  <si>
    <t>NUCLEO-H7S3L8 (KR1) - 3</t>
  </si>
  <si>
    <t>NUCLEO-H7S3L8 (KR1) - 4</t>
  </si>
  <si>
    <t>NUCLEO-H7S3L8 (KR1) - 5</t>
  </si>
  <si>
    <t>NUCLEO-H7S3L8 (KR1) - 6</t>
  </si>
  <si>
    <t>NUCLEO-H7S3L8 (KR1) - 7</t>
  </si>
  <si>
    <t>NUCLEO-H7S3L8 (KR1) - 8</t>
  </si>
  <si>
    <t>NUCLEO-H7S3L8 (KR1) - 9</t>
  </si>
  <si>
    <t>NUCLEO-H7S3L8 (KR1) - 10</t>
  </si>
  <si>
    <t>NUCLEO-H7S3L8 (KR1) - 11</t>
  </si>
  <si>
    <t>NUCLEO-H7A3ZI-Q - 1</t>
  </si>
  <si>
    <t>NUCLEO-H7A3ZI-Q - 2</t>
  </si>
  <si>
    <t>NUCLEO-H7A3ZI-Q - 3</t>
  </si>
  <si>
    <t>NUCLEO-H7A3ZI-Q - 4</t>
  </si>
  <si>
    <t>NUCLEO-H7A3ZI-Q - 5</t>
  </si>
  <si>
    <t>NUCLEO-H7A3ZI-Q - 6</t>
  </si>
  <si>
    <t>NUCLEO-H7A3ZI-Q - 7</t>
  </si>
  <si>
    <t>NUCLEO-H7A3ZI-Q - 8</t>
  </si>
  <si>
    <t>NUCLEO-H7A3ZI-Q - 9</t>
  </si>
  <si>
    <t>NUCLEO-H7A3ZI-Q - 10</t>
  </si>
  <si>
    <t>NUCLEO-H755ZI-Q (AT3) - 1</t>
  </si>
  <si>
    <t>NUCLEO-H755ZI-Q (AT3) - 2</t>
  </si>
  <si>
    <t>NUCLEO-H755ZI-Q (AT3) - 3</t>
  </si>
  <si>
    <t>NUCLEO-H755ZI-Q (AT3) - 4</t>
  </si>
  <si>
    <t>NUCLEO-H755ZI-Q - 1</t>
  </si>
  <si>
    <t>NUCLEO-H755ZI-Q - 2</t>
  </si>
  <si>
    <t>NUCLEO-H755ZI-Q - 3</t>
  </si>
  <si>
    <t>NUCLEO-H755ZI-Q - 4</t>
  </si>
  <si>
    <t>NUCLEO-H755ZI-Q - 5</t>
  </si>
  <si>
    <t>NUCLEO-H755ZI-Q - 6</t>
  </si>
  <si>
    <t>NUCLEO-H753ZI (AT3) - 1</t>
  </si>
  <si>
    <t>NUCLEO-H753ZI (AT3) - 2</t>
  </si>
  <si>
    <t>NUCLEO-H753ZI (AT3) - 3</t>
  </si>
  <si>
    <t>NUCLEO-H753ZI (AT3) - 4</t>
  </si>
  <si>
    <t>NUCLEO-H753ZI - 1</t>
  </si>
  <si>
    <t>NUCLEO-H753ZI - 2</t>
  </si>
  <si>
    <t>NUCLEO-H753ZI - 3</t>
  </si>
  <si>
    <t>NUCLEO-H753ZI - 4</t>
  </si>
  <si>
    <t>NUCLEO-H753ZI - 5</t>
  </si>
  <si>
    <t>NUCLEO-H753ZI - 6</t>
  </si>
  <si>
    <t>NUCLEO-H753ZI - 7</t>
  </si>
  <si>
    <t>NUCLEO-H753ZI - 8</t>
  </si>
  <si>
    <t>NUCLEO-H753ZI - 9</t>
  </si>
  <si>
    <t>NUCLEO-H753ZI - 10</t>
  </si>
  <si>
    <t>NUCLEO-H745ZI-Q - 1</t>
  </si>
  <si>
    <t>NUCLEO-H745ZI-Q - 2</t>
  </si>
  <si>
    <t>NUCLEO-H745ZI-Q - 3</t>
  </si>
  <si>
    <t>NUCLEO-H745ZI-Q - 4</t>
  </si>
  <si>
    <t>NUCLEO-H745ZI-Q - 5</t>
  </si>
  <si>
    <t>NUCLEO-H745ZI-Q - 6</t>
  </si>
  <si>
    <t>NUCLEO-H745ZI-Q - 7</t>
  </si>
  <si>
    <t>NUCLEO-H745ZI-Q - 8</t>
  </si>
  <si>
    <t>NUCLEO-H743ZI2 - 1</t>
  </si>
  <si>
    <t>NUCLEO-H743ZI2 - 2</t>
  </si>
  <si>
    <t>NUCLEO-H743ZI2 - 3</t>
  </si>
  <si>
    <t>NUCLEO-H743ZI2 - 4</t>
  </si>
  <si>
    <t>NUCLEO-H743ZI2 - 5</t>
  </si>
  <si>
    <t>NUCLEO-H743ZI2 - 6</t>
  </si>
  <si>
    <t>NUCLEO-H743ZI2 - 7</t>
  </si>
  <si>
    <t>NUCLEO-H743ZI2 - 8</t>
  </si>
  <si>
    <t>NUCLEO-H743ZI - 1</t>
  </si>
  <si>
    <t>NUCLEO-H743ZI - 2</t>
  </si>
  <si>
    <t>NUCLEO-H723ZG - 1</t>
  </si>
  <si>
    <t>NUCLEO-H723ZG - 2</t>
  </si>
  <si>
    <t>NUCLEO-H723ZG - 3</t>
  </si>
  <si>
    <t>NUCLEO-H723ZG - 4</t>
  </si>
  <si>
    <t>NUCLEO-H723ZG - 5</t>
  </si>
  <si>
    <t>NUCLEO-H723ZG - 6</t>
  </si>
  <si>
    <t>NUCLEO-H723ZG - 7</t>
  </si>
  <si>
    <t>NUCLEO-H723ZG - 8</t>
  </si>
  <si>
    <t>NUCLEO-H563ZI ($KR1) - 1</t>
  </si>
  <si>
    <t>NUCLEO-H563ZI ($KR1) - 2</t>
  </si>
  <si>
    <t>NUCLEO-H563ZI ($KR1) - 3</t>
  </si>
  <si>
    <t>NUCLEO-H563ZI ($KR1) - 4</t>
  </si>
  <si>
    <t>NUCLEO-H563ZI ($KR1) - 5</t>
  </si>
  <si>
    <t>NUCLEO-H563ZI ($KR1) - 6</t>
  </si>
  <si>
    <t>NUCLEO-H563ZI ($KR1) - 7</t>
  </si>
  <si>
    <t>NUCLEO-H563ZI ($KR1) - 8</t>
  </si>
  <si>
    <t>NUCLEO-H563ZI ($KR1) - 9</t>
  </si>
  <si>
    <t>NUCLEO-H563ZI ($KR1) - 10</t>
  </si>
  <si>
    <t>NUCLEO-H563ZI ($KR1) - 11</t>
  </si>
  <si>
    <t>NUCLEO-H563ZI ($KR1) - 12</t>
  </si>
  <si>
    <t>NUCLEO-H563ZI ($KR1) - 13</t>
  </si>
  <si>
    <t>NUCLEO-H563ZI ($KR1) - 14</t>
  </si>
  <si>
    <t>NUCLEO-H563ZI ($MR2) - 1</t>
  </si>
  <si>
    <t>NUCLEO-H563ZI ($MR2) - 2</t>
  </si>
  <si>
    <t>NUCLEO-H563ZI ($MR1) - 1</t>
  </si>
  <si>
    <t>NUCLEO-H563ZI ($MR1) - 2</t>
  </si>
  <si>
    <t>NUCLEO-H563ZI ($MR1) - 3</t>
  </si>
  <si>
    <t>NUCLEO-H563ZI ($MR1) - 4</t>
  </si>
  <si>
    <t>NUCLEO-H563ZI ($MR1) - 5</t>
  </si>
  <si>
    <t>NUCLEO-H563ZI ($MR1) - 6</t>
  </si>
  <si>
    <t>NUCLEO-H563ZI ($MT2) - 1</t>
  </si>
  <si>
    <t>NUCLEO-H563ZI ($MT2) - 2</t>
  </si>
  <si>
    <t>NUCLEO-H563ZI ($MT2) - 3</t>
  </si>
  <si>
    <t>NUCLEO-H563ZI ($MT2) - 4</t>
  </si>
  <si>
    <t>NUCLEO-F767ZI - 1</t>
  </si>
  <si>
    <t>NUCLEO-F767ZI - 2</t>
  </si>
  <si>
    <t>NUCLEO-F767ZI - 3</t>
  </si>
  <si>
    <t>NUCLEO-F767ZI - 4</t>
  </si>
  <si>
    <t>NUCLEO-F767ZI - 5</t>
  </si>
  <si>
    <t>NUCLEO-F767ZI - 6</t>
  </si>
  <si>
    <t>NUCLEO-F767ZI - 7</t>
  </si>
  <si>
    <t>NUCLEO-F767ZI - 8</t>
  </si>
  <si>
    <t>NUCLEO-F767ZI - 9</t>
  </si>
  <si>
    <t>NUCLEO-F767ZI - 10</t>
  </si>
  <si>
    <t>NUCLEO-F756ZG - 1</t>
  </si>
  <si>
    <t>NUCLEO-F756ZG - 2</t>
  </si>
  <si>
    <t>NUCLEO-F756ZG - 3</t>
  </si>
  <si>
    <t>NUCLEO-F756ZG - 4</t>
  </si>
  <si>
    <t>NUCLEO-F756ZG - 5</t>
  </si>
  <si>
    <t>NUCLEO-F756ZG - 6</t>
  </si>
  <si>
    <t>NUCLEO-F746ZG - 1</t>
  </si>
  <si>
    <t>NUCLEO-F746ZG - 2</t>
  </si>
  <si>
    <t>NUCLEO-F746ZG - 3</t>
  </si>
  <si>
    <t>NUCLEO-F722ZE - 1</t>
  </si>
  <si>
    <t>NUCLEO-F722ZE - 2</t>
  </si>
  <si>
    <t>NUCLEO-F446ZG - 1</t>
  </si>
  <si>
    <t>NUCLEO-F446ZG - 2</t>
  </si>
  <si>
    <t>NUCLEO-F446ZG - 3</t>
  </si>
  <si>
    <t>NUCLEO-F439ZI - 1</t>
  </si>
  <si>
    <t>NUCLEO-F439ZI - 2</t>
  </si>
  <si>
    <t>NUCLEO-F439ZI - 3</t>
  </si>
  <si>
    <t>NUCLEO-F439ZI - 4</t>
  </si>
  <si>
    <t>NUCLEO-F429ZI - 1</t>
  </si>
  <si>
    <t>NUCLEO-F429ZI - 2</t>
  </si>
  <si>
    <t>NUCLEO-F429ZI - 3</t>
  </si>
  <si>
    <t>NUCLEO-F429ZI - 4</t>
  </si>
  <si>
    <t>NUCLEO-F429ZI - 5</t>
  </si>
  <si>
    <t>NUCLEO-F429ZI - 6</t>
  </si>
  <si>
    <t>NUCLEO-F413ZH - 1</t>
  </si>
  <si>
    <t>NUCLEO-F413ZH - 2</t>
  </si>
  <si>
    <t>NUCLEO-F413ZH - 3</t>
  </si>
  <si>
    <t>NUCLEO-F413ZH - 4</t>
  </si>
  <si>
    <t>NUCLEO-F412ZG - 1</t>
  </si>
  <si>
    <t>NUCLEO-F412ZG - 2</t>
  </si>
  <si>
    <t>NUCLEO-F412ZG - 3</t>
  </si>
  <si>
    <t>NUCLEO-F303ZE - 1</t>
  </si>
  <si>
    <t>NUCLEO-F303ZE - 2</t>
  </si>
  <si>
    <t>NUCLEO-F207ZG - 1</t>
  </si>
  <si>
    <t>NUCLEO-F207ZG - 2</t>
  </si>
  <si>
    <t>NUCLEO-F207ZG - 3</t>
  </si>
  <si>
    <t>NUCLEO-F207ZG - 4</t>
  </si>
  <si>
    <t>NUCLEO-WL55JC2 - 1</t>
  </si>
  <si>
    <t>NUCLEO-WL55JC2 - 2</t>
  </si>
  <si>
    <t>NUCLEO-WL55JC2 - 3</t>
  </si>
  <si>
    <t>NUCLEO-WL55JC2 - 4</t>
  </si>
  <si>
    <t>NUCLEO-WL55JC2 - 5</t>
  </si>
  <si>
    <t>NUCLEO-WL55JC2 - 6</t>
  </si>
  <si>
    <t>NUCLEO-WL55JC2 - 7</t>
  </si>
  <si>
    <t>NUCLEO-WL55JC1 - 1</t>
  </si>
  <si>
    <t>NUCLEO-WL55JC1 - 2</t>
  </si>
  <si>
    <t>NUCLEO-WL55JC1 - 3</t>
  </si>
  <si>
    <t>NUCLEO-WL55JC1 - 4</t>
  </si>
  <si>
    <t>NUCLEO-WL55JC1 - 5</t>
  </si>
  <si>
    <t>NUCLEO-WL33CC2 (CR1) - 1</t>
  </si>
  <si>
    <t>NUCLEO-WL33CC2 (CR1) - 2</t>
  </si>
  <si>
    <t>NUCLEO-WL33CC2 (CR1) - 3</t>
  </si>
  <si>
    <t>NUCLEO-WL33CC2 (CR1) - 4</t>
  </si>
  <si>
    <t>NUCLEO-WL33CC2 (CR1) - 5</t>
  </si>
  <si>
    <t>NUCLEO-WL33CC2 (CR1) - 6</t>
  </si>
  <si>
    <t>NUCLEO-WL33CC2 (CR1) - 7</t>
  </si>
  <si>
    <t>NUCLEO-WL33CC2 (CR1) - 8</t>
  </si>
  <si>
    <t>NUCLEO-WL33CC2 (CR1) - 9</t>
  </si>
  <si>
    <t>NUCLEO-WL33CC2 (CR1) - 10</t>
  </si>
  <si>
    <t>NUCLEO-WL33CC2 (CR1) - 11</t>
  </si>
  <si>
    <t>NUCLEO-WL33CC2 (CR1) - 12</t>
  </si>
  <si>
    <t>NUCLEO-WL33CC1 (CR1) - 1</t>
  </si>
  <si>
    <t>NUCLEO-WL33CC1 (CR1) - 2</t>
  </si>
  <si>
    <t>NUCLEO-WL33CC1 (CR1) - 3</t>
  </si>
  <si>
    <t>NUCLEO-WL33CC1 (CR1) - 4</t>
  </si>
  <si>
    <t>NUCLEO-WL33CC1 (CR1) - 5</t>
  </si>
  <si>
    <t>NUCLEO-WL33CC1 (CR1) - 6</t>
  </si>
  <si>
    <t>NUCLEO-WBA65RI (DR1) - 1</t>
  </si>
  <si>
    <t>NUCLEO-WBA65RI (DR1) - 2</t>
  </si>
  <si>
    <t>NUCLEO-WBA65RI (DR1) - 3</t>
  </si>
  <si>
    <t>NUCLEO-WBA65RI (DR1) - 4</t>
  </si>
  <si>
    <t>NUCLEO-WBA55CG (DT1) - 1</t>
  </si>
  <si>
    <t>NUCLEO-WBA55CG (DT1) - 2</t>
  </si>
  <si>
    <t>NUCLEO-WBA55CG (DT1) - 3</t>
  </si>
  <si>
    <t>NUCLEO-WBA55CG (DT1) - 4</t>
  </si>
  <si>
    <t>NUCLEO-WBA55CG (DT1) - 5</t>
  </si>
  <si>
    <t>NUCLEO-WBA55CG (DT1) - 6</t>
  </si>
  <si>
    <t>NUCLEO-WBA55CG (DT1) - 7</t>
  </si>
  <si>
    <t>NUCLEO-WBA55CG (DT1) - 8</t>
  </si>
  <si>
    <t>NUCLEO-WBA52CG - 1</t>
  </si>
  <si>
    <t>NUCLEO-WBA52CG - 2</t>
  </si>
  <si>
    <t>NUCLEO-WBA52CG - 3</t>
  </si>
  <si>
    <t>NUCLEO-WBA52CG - 4</t>
  </si>
  <si>
    <t>NUCLEO-WBA52CG - 5</t>
  </si>
  <si>
    <t>NUCLEO-WBA52CG - 6</t>
  </si>
  <si>
    <t>NUCLEO-WBA52CG - 7</t>
  </si>
  <si>
    <t>NUCLEO-WBA52CG - 8</t>
  </si>
  <si>
    <t>NUCLEO-WB55RG (CU4) - 1</t>
  </si>
  <si>
    <t>NUCLEO-WB55RG (CU4) - 2</t>
  </si>
  <si>
    <t>NUCLEO-WB55RG (CU4) - 3</t>
  </si>
  <si>
    <t>NUCLEO-WB55RG (CU4) - 4</t>
  </si>
  <si>
    <t>NUCLEO-WB55RG (CU4) - 5</t>
  </si>
  <si>
    <t>NUCLEO-WB55RG (CU4) - 6</t>
  </si>
  <si>
    <t>NUCLEO-WB55RG - 1</t>
  </si>
  <si>
    <t>NUCLEO-WB55RG - 2</t>
  </si>
  <si>
    <t>NUCLEO-WB55RG - 3</t>
  </si>
  <si>
    <t>NUCLEO-WB55RG - 4</t>
  </si>
  <si>
    <t>NUCLEO-WB55RG - 5</t>
  </si>
  <si>
    <t>NUCLEO-WB55RG - 6</t>
  </si>
  <si>
    <t>NUCLEO-WB55RG - 7</t>
  </si>
  <si>
    <t>NUCLEO-WB55RG - 8</t>
  </si>
  <si>
    <t>NUCLEO-WB15CC - 1</t>
  </si>
  <si>
    <t>NUCLEO-WB15CC - 2</t>
  </si>
  <si>
    <t>NUCLEO-WB15CC - 3</t>
  </si>
  <si>
    <t>NUCLEO-WB15CC - 4</t>
  </si>
  <si>
    <t>NUCLEO-WB15CC - 5</t>
  </si>
  <si>
    <t>NUCLEO-WB15CC - 6</t>
  </si>
  <si>
    <t>NUCLEO-WB15CC - 7</t>
  </si>
  <si>
    <t>NUCLEO-WB15CC - 8</t>
  </si>
  <si>
    <t>NUCLEO-WB09KE (CR1) - 1</t>
  </si>
  <si>
    <t>NUCLEO-WB09KE (CR1) - 2</t>
  </si>
  <si>
    <t>NUCLEO-WB07CC(CR1) - 1</t>
  </si>
  <si>
    <t>NUCLEO-WB07CC(CR1) - 2</t>
  </si>
  <si>
    <t>NUCLEO-WB07CC(CR1) - 3</t>
  </si>
  <si>
    <t>NUCLEO-WB07CC(CR1) - 4</t>
  </si>
  <si>
    <t>NUCLEO-WB07CC(CR1) - 5</t>
  </si>
  <si>
    <t>NUCLEO-WB07CC(CR1) - 6</t>
  </si>
  <si>
    <t>NUCLEO-WB05KZ(CR1) - 1</t>
  </si>
  <si>
    <t>NUCLEO-WB05KZ(CR1) - 2</t>
  </si>
  <si>
    <t>NUCLEO-U545RE-Q (MR1) - 1</t>
  </si>
  <si>
    <t>NUCLEO-U545RE-Q (MR1) - 2</t>
  </si>
  <si>
    <t>NUCLEO-U545RE-Q (MR1) - 3</t>
  </si>
  <si>
    <t>NUCLEO-U545RE-Q (MR1) - 4</t>
  </si>
  <si>
    <t>NUCLEO-U545RE-Q (MR1) - 5</t>
  </si>
  <si>
    <t>NUCLEO-U545RE-Q (MR1) - 6</t>
  </si>
  <si>
    <t>NUCLEO-U545RE-Q (MR1) - 7</t>
  </si>
  <si>
    <t>NUCLEO-U545RE-Q (MR1) - 8</t>
  </si>
  <si>
    <t>NUCLEO-U545RE-Q (MR1) - 9</t>
  </si>
  <si>
    <t>NUCLEO-U545RE-Q (MR1) - 10</t>
  </si>
  <si>
    <t>NUCLEO-U385RG-Q (CR1) - 1</t>
  </si>
  <si>
    <t>NUCLEO-U385RG-Q (CR1) - 2</t>
  </si>
  <si>
    <t>NUCLEO-U385RG-Q (CR1) - 3</t>
  </si>
  <si>
    <t>NUCLEO-U385RG-Q (CR1) - 4</t>
  </si>
  <si>
    <t>NUCLEO-U385RG-Q (CR1) ES - 1</t>
  </si>
  <si>
    <t>NUCLEO-U385RG-Q (CR1) ES - 2</t>
  </si>
  <si>
    <t>NUCLEO-U385RB (CR1) ES - 1</t>
  </si>
  <si>
    <t>NUCLEO-U385RB (CR1) ES - 2</t>
  </si>
  <si>
    <t>NUCLEO-U385RB (CR1) ES - 3</t>
  </si>
  <si>
    <t>NUCLEO-U385RB (CR1) ES - 4</t>
  </si>
  <si>
    <t>NUCLEO-U083RC (KS1) - 1</t>
  </si>
  <si>
    <t>NUCLEO-U083RC (KS1) - 2</t>
  </si>
  <si>
    <t>NUCLEO-U083RC (KS1) - 3</t>
  </si>
  <si>
    <t>NUCLEO-U083RC (KS1) - 4</t>
  </si>
  <si>
    <t>NUCLEO-U031R8 (KS1) - 1</t>
  </si>
  <si>
    <t>NUCLEO-U031R8 (KS1) - 2</t>
  </si>
  <si>
    <t>NUCLEO-U031R8 (KS1) - 3</t>
  </si>
  <si>
    <t>NUCLEO-U031R8 (KS1) - 4</t>
  </si>
  <si>
    <t>NUCLEO-L476RG - 1</t>
  </si>
  <si>
    <t>NUCLEO-L476RG - 2</t>
  </si>
  <si>
    <t>NUCLEO-L476RG - 3</t>
  </si>
  <si>
    <t>NUCLEO-L476RG - 4</t>
  </si>
  <si>
    <t>NUCLEO-L476RG - 5</t>
  </si>
  <si>
    <t>NUCLEO-L476RG - 6</t>
  </si>
  <si>
    <t>NUCLEO-L476RG - 7</t>
  </si>
  <si>
    <t>NUCLEO-L476RG - 8</t>
  </si>
  <si>
    <t>NUCLEO-L476RG - 9</t>
  </si>
  <si>
    <t>NUCLEO-L476RG - 10</t>
  </si>
  <si>
    <t>NUCLEO-L476RG - 11</t>
  </si>
  <si>
    <t>NUCLEO-L476RG - 12</t>
  </si>
  <si>
    <t>NUCLEO-L452RE-P - 1</t>
  </si>
  <si>
    <t>NUCLEO-L452RE-P - 2</t>
  </si>
  <si>
    <t>NUCLEO-L452RE-P - 3</t>
  </si>
  <si>
    <t>NUCLEO-L452RE-P - 4</t>
  </si>
  <si>
    <t>NUCLEO-L452RE-P - 5</t>
  </si>
  <si>
    <t>NUCLEO-L452RE-P - 6</t>
  </si>
  <si>
    <t>NUCLEO-L452RE - 1</t>
  </si>
  <si>
    <t>NUCLEO-L452RE - 2</t>
  </si>
  <si>
    <t>NUCLEO-L452RE - 3</t>
  </si>
  <si>
    <t>NUCLEO-L452RE - 4</t>
  </si>
  <si>
    <t>NUCLEO-L452RE - 5</t>
  </si>
  <si>
    <t>NUCLEO-L452RE - 6</t>
  </si>
  <si>
    <t>NUCLEO-L452RE - 7</t>
  </si>
  <si>
    <t>NUCLEO-L433RC-P - 1</t>
  </si>
  <si>
    <t>NUCLEO-L433RC-P - 2</t>
  </si>
  <si>
    <t>NUCLEO-L433RC-P - 3</t>
  </si>
  <si>
    <t>NUCLEO-L433RC-P - 4</t>
  </si>
  <si>
    <t>NUCLEO-L433RC-P - 5</t>
  </si>
  <si>
    <t>NUCLEO-L433RC-P - 6</t>
  </si>
  <si>
    <t>NUCLEO-L433RC-P - 7</t>
  </si>
  <si>
    <t>NUCLEO-L412RB-P - 1</t>
  </si>
  <si>
    <t>NUCLEO-L412RB-P - 2</t>
  </si>
  <si>
    <t>NUCLEO-L412RB-P - 3</t>
  </si>
  <si>
    <t>NUCLEO-L412RB-P - 4</t>
  </si>
  <si>
    <t>NUCLEO-L412RB-P - 5</t>
  </si>
  <si>
    <t>NUCLEO-L412RB-P - 6</t>
  </si>
  <si>
    <t>NUCLEO-L412RB-P - 7</t>
  </si>
  <si>
    <t>NUCLEO-L412RB-P - 8</t>
  </si>
  <si>
    <t>NUCLEO-L412RB-P - 9</t>
  </si>
  <si>
    <t>NUCLEO-L152RE - 1</t>
  </si>
  <si>
    <t>NUCLEO-L152RE - 2</t>
  </si>
  <si>
    <t>NUCLEO-L152RE - 3</t>
  </si>
  <si>
    <t>NUCLEO-L152RE - 4</t>
  </si>
  <si>
    <t>NUCLEO-L152RE - 5</t>
  </si>
  <si>
    <t>NUCLEO-L073RZ - 1</t>
  </si>
  <si>
    <t>NUCLEO-L073RZ - 2</t>
  </si>
  <si>
    <t>NUCLEO-L073RZ - 3</t>
  </si>
  <si>
    <t>NUCLEO-L073RZ - 4</t>
  </si>
  <si>
    <t>NUCLEO-L073RZ - 5</t>
  </si>
  <si>
    <t>NUCLEO-L073RZ - 6</t>
  </si>
  <si>
    <t>NUCLEO-L073RZ - 7</t>
  </si>
  <si>
    <t>NUCLEO-L073RZ - 8</t>
  </si>
  <si>
    <t>NUCLEO-L073RZ - 9</t>
  </si>
  <si>
    <t>NUCLEO-L053R8 - 1</t>
  </si>
  <si>
    <t>NUCLEO-L053R8 - 2</t>
  </si>
  <si>
    <t>NUCLEO-L053R8 - 3</t>
  </si>
  <si>
    <t>NUCLEO-L053R8 - 4</t>
  </si>
  <si>
    <t>NUCLEO-L053R8 - 5</t>
  </si>
  <si>
    <t>NUCLEO-L053R8 - 6</t>
  </si>
  <si>
    <t>NUCLEO-L053R8 - 7</t>
  </si>
  <si>
    <t>NUCLEO-L053R8 - 8</t>
  </si>
  <si>
    <t>NUCLEO-L053R8 - 9</t>
  </si>
  <si>
    <t>NUCLEO-L010RB - 1</t>
  </si>
  <si>
    <t>NUCLEO-L010RB - 2</t>
  </si>
  <si>
    <t>NUCLEO-L010RB - 3</t>
  </si>
  <si>
    <t>NUCLEO-L010RB - 4</t>
  </si>
  <si>
    <t>NUCLEO-H533RE (KR2) - 1</t>
  </si>
  <si>
    <t>NUCLEO-H533RE (KR2) - 2</t>
  </si>
  <si>
    <t>NUCLEO-H533RE (MR1) - 1</t>
  </si>
  <si>
    <t>NUCLEO-H533RE (MR1) - 2</t>
  </si>
  <si>
    <t>NUCLEO-H533RE (MR1) - 3</t>
  </si>
  <si>
    <t>NUCLEO-H533RE (MR1) - 4</t>
  </si>
  <si>
    <t>NUCLEO-H503RB (MR2) - 1</t>
  </si>
  <si>
    <t>NUCLEO-H503RB (MR2) - 2</t>
  </si>
  <si>
    <t>NUCLEO-H503RB (MR2) - 3</t>
  </si>
  <si>
    <t>NUCLEO-H503RB (MR2) - 4</t>
  </si>
  <si>
    <t>NUCLEO-H503RB (MR2) - 5</t>
  </si>
  <si>
    <t>NUCLEO-H503RB (MR2) - 6</t>
  </si>
  <si>
    <t>NUCLEO-H503RB (MR2) - 7</t>
  </si>
  <si>
    <t>NUCLEO-H503RB (MR2) - 8</t>
  </si>
  <si>
    <t>NUCLEO-H503RB (MR2) - 9</t>
  </si>
  <si>
    <t>NUCLEO-H503RB (MR2) - 10</t>
  </si>
  <si>
    <t>NUCLEO-H503RB (MR2) - 11</t>
  </si>
  <si>
    <t>NUCLEO-H503RB (MR2) - 12</t>
  </si>
  <si>
    <t>P-NUCLEO-WB55 - 1</t>
  </si>
  <si>
    <t>P-NUCLEO-WB55 - 2</t>
  </si>
  <si>
    <t>P-NUCLEO-WB55 - 3</t>
  </si>
  <si>
    <t>P-NUCLEO-WB55 - 4</t>
  </si>
  <si>
    <t>P-NUCLEO-WB55 - 5</t>
  </si>
  <si>
    <t>P-NUCLEO-WB55 - 6</t>
  </si>
  <si>
    <t>P-NUCLEO-WB55 - 7</t>
  </si>
  <si>
    <t>P-L496G-CELL02 - 1</t>
  </si>
  <si>
    <t>P-L496G-CELL02 - 2</t>
  </si>
  <si>
    <t>P-L496G-CELL02 - 3</t>
  </si>
  <si>
    <t>P-L496G-CELL02 - 4</t>
  </si>
  <si>
    <t>P-L496G-CELL01 - 1</t>
  </si>
  <si>
    <t>P-L496G-CELL01 - 2</t>
  </si>
  <si>
    <t>P-L496G-CELL01 - 3</t>
  </si>
  <si>
    <t>P-L496G-CELL01 - 4</t>
  </si>
  <si>
    <t>P-L496G-CELL01 - 5</t>
  </si>
  <si>
    <t>P-NUCLEO-LRWAN2 - 1</t>
  </si>
  <si>
    <t>P-NUCLEO-LRWAN2 - 2</t>
  </si>
  <si>
    <t>P-NUCLEO-LRWAN2 - 3</t>
  </si>
  <si>
    <t>P-NUCLEO-LRWAN2 - 4</t>
  </si>
  <si>
    <t>P-NUCLEO-USB002 - 1</t>
  </si>
  <si>
    <t>P-NUCLEO-USB002 - 2</t>
  </si>
  <si>
    <t>P-NUCLEO-USB001 - 1</t>
  </si>
  <si>
    <t>P-NUCLEO-53L4A2 - 1</t>
  </si>
  <si>
    <t>P-NUCLEO-53L4A2 - 2</t>
  </si>
  <si>
    <t>X-NUCLEO-USBPDM1 - 1</t>
  </si>
  <si>
    <t>X-NUCLEO-STSA100 - 1</t>
  </si>
  <si>
    <t>X-NUCLEO-STSA100 - 2</t>
  </si>
  <si>
    <t>X-NUCLEO-STSA100 - 3</t>
  </si>
  <si>
    <t>X-NUCLEO-STSA100 - 4</t>
  </si>
  <si>
    <t>X-NUCLEO-STSA100 - 5</t>
  </si>
  <si>
    <t>X-NUCLEO-STSA100 - 6</t>
  </si>
  <si>
    <t>X-NUCLEO-STMODA1 - 1</t>
  </si>
  <si>
    <t>X-NUCLEO-STMODA1 - 2</t>
  </si>
  <si>
    <t>X-NUCLEO-SRC1M1 - 1</t>
  </si>
  <si>
    <t>X-NUCLEO-SRC1M1 - 2</t>
  </si>
  <si>
    <t>X-NUCLEO-SRC1M1 - 3</t>
  </si>
  <si>
    <t>X-NUCLEO-SRC1M1 - 4</t>
  </si>
  <si>
    <t>X-NUCLEO-SNK1M1 - 1</t>
  </si>
  <si>
    <t>X-NUCLEO-SNK1M1 - 2</t>
  </si>
  <si>
    <t>X-NUCLEO-SNK1M1 - 3</t>
  </si>
  <si>
    <t>X-NUCLEO-SNK1M1 - 4</t>
  </si>
  <si>
    <t>X-NUCLEO-SAFEA1A - 1</t>
  </si>
  <si>
    <t>X-NUCLEO-SAFEA1A - 2</t>
  </si>
  <si>
    <t>X-NUCLEO-SAFEA1A - 3</t>
  </si>
  <si>
    <t>X-NUCLEO-SAFEA1A - 4</t>
  </si>
  <si>
    <t>X-NUCLEO-S2868A1 - 1</t>
  </si>
  <si>
    <t>X-NUCLEO-S2868A1 - 2</t>
  </si>
  <si>
    <t>X-NUCLEO-S2868A1 - 3</t>
  </si>
  <si>
    <t>X-NUCLEO-PGEEZ1 - 1</t>
  </si>
  <si>
    <t>X-NUCLEO-PGEEZ1 - 2</t>
  </si>
  <si>
    <t>X-NUCLEO-PLM01A1 - 1</t>
  </si>
  <si>
    <t>X-NUCLEO-PLM01A1 - 2</t>
  </si>
  <si>
    <t>X-NUCLEO-PLM01A1 - 3</t>
  </si>
  <si>
    <t>X-NUCLEO-PLM01A1 - 4</t>
  </si>
  <si>
    <t>X-NUCLEO-OUT15A1 - 1</t>
  </si>
  <si>
    <t>X-NUCLEO-OUT15A1 - 2</t>
  </si>
  <si>
    <t>X-NUCLEO-OUT14A1 - 1</t>
  </si>
  <si>
    <t>X-NUCLEO-OUT14A1 - 2</t>
  </si>
  <si>
    <t>X-NUCLEO-OUT07A1 - 1</t>
  </si>
  <si>
    <t>X-NUCLEO-OUT07A1 - 2</t>
  </si>
  <si>
    <t>X-NUCLEO-OUT04A1 - 1</t>
  </si>
  <si>
    <t>X-NUCLEO-OUT04A1 - 2</t>
  </si>
  <si>
    <t>X-NUCLEO-NFC08A1 - 1</t>
  </si>
  <si>
    <t>X-NUCLEO-NFC08A1 - 2</t>
  </si>
  <si>
    <t>X-NUCLEO-NFC06A1 - 1</t>
  </si>
  <si>
    <t>X-NUCLEO-NFC06A1 - 2</t>
  </si>
  <si>
    <t>X-NUCLEO-NFC05A1 - 1</t>
  </si>
  <si>
    <t>X-NUCLEO-NFC04A1 - 1</t>
  </si>
  <si>
    <t>X-NUCLEO-NFC04A1 - 2</t>
  </si>
  <si>
    <t>X-NUCLEO-NFC03A1 - 1</t>
  </si>
  <si>
    <t>X-NUCLEO-NFC01A2 - 1</t>
  </si>
  <si>
    <t>X-NUCLEO-NFC01A1 - 1</t>
  </si>
  <si>
    <t>X-NUCLEO-NFC01A1 - 2</t>
  </si>
  <si>
    <t>X-NUCLEO-LPM01A - 1</t>
  </si>
  <si>
    <t>X-NUCLEO-LPM01A - 2</t>
  </si>
  <si>
    <t>X-NUCLEO-LPM01A - 3</t>
  </si>
  <si>
    <t>X-NUCLEO-LPM01A - 4</t>
  </si>
  <si>
    <t>X-NUCLEO-LIV4A1A - 1</t>
  </si>
  <si>
    <t>X-NUCLEO-LIV4A1A - 2</t>
  </si>
  <si>
    <t>X-NUCLEO-LED61A1 - 1</t>
  </si>
  <si>
    <t>X-NUCLEO-LED61A1 - 2</t>
  </si>
  <si>
    <t>X-NUCLEO-LED16A1 - 1</t>
  </si>
  <si>
    <t>X-NUCLEO-LED16A1 - 2</t>
  </si>
  <si>
    <t>X-NUCLEO-IOD02A1 - 1</t>
  </si>
  <si>
    <t>X-NUCLEO-IKS4A1 - 1</t>
  </si>
  <si>
    <t>X-NUCLEO-IKS4A1 - 2</t>
  </si>
  <si>
    <t>X-NUCLEO-IKS4A1 - 3</t>
  </si>
  <si>
    <t>X-NUCLEO-IKS4A1 - 4</t>
  </si>
  <si>
    <t>X-NUCLEO-IKS02A1 - 1</t>
  </si>
  <si>
    <t>X-NUCLEO-IKS02A1 - 2</t>
  </si>
  <si>
    <t>X-NUCLEO-IKS02A1 - 3</t>
  </si>
  <si>
    <t>X-NUCLEO-IKS02A1 - 4</t>
  </si>
  <si>
    <t>X-NUCLEO-IKS02A1 - 5</t>
  </si>
  <si>
    <t>X-NUCLEO-IKS02A1 - 6</t>
  </si>
  <si>
    <t>X-NUCLEO-IKS02A1 - 7</t>
  </si>
  <si>
    <t>X-NUCLEO-IKS01A3 - 1</t>
  </si>
  <si>
    <t>X-NUCLEO-IKS01A3 - 2</t>
  </si>
  <si>
    <t>X-NUCLEO-IKS01A3 - 3</t>
  </si>
  <si>
    <t>X-NUCLEO-IKS01A3 - 4</t>
  </si>
  <si>
    <t>X-NUCLEO-IKS01A3 - 5</t>
  </si>
  <si>
    <t>X-NUCLEO-IKS01A3 - 6</t>
  </si>
  <si>
    <t>X-NUCLEO-IKS01A3 - 7</t>
  </si>
  <si>
    <t>X-NUCLEO-IKS01A3 - 8</t>
  </si>
  <si>
    <t>X-NUCLEO-IKS01A2 - 1</t>
  </si>
  <si>
    <t>X-NUCLEO-IKS01A2 - 2</t>
  </si>
  <si>
    <t>X-NUCLEO-IKS01A2 - 3</t>
  </si>
  <si>
    <t>X-NUCLEO-IKS01A2 - 4</t>
  </si>
  <si>
    <t>X-NUCLEO-IKS01A2 - 5</t>
  </si>
  <si>
    <t>X-NUCLEO-IKS01A2 - 6</t>
  </si>
  <si>
    <t>X-NUCLEO-IKA01A1 - 1</t>
  </si>
  <si>
    <t>X-NUCLEO-IKA01A1 - 2</t>
  </si>
  <si>
    <t>X-NUCLEO-IKA01A1 - 3</t>
  </si>
  <si>
    <t>X-NUCLEO-IKA01A1 - 4</t>
  </si>
  <si>
    <t>X-NUCLEO-IKA01A1 - 5</t>
  </si>
  <si>
    <t>X-NUCLEO-IKA01A1 - 6</t>
  </si>
  <si>
    <t>X-NUCLEO-IHM15A1 - 1</t>
  </si>
  <si>
    <t>X-NUCLEO-IHM15A1 - 2</t>
  </si>
  <si>
    <t>X-NUCLEO-IHM15A1 - 3</t>
  </si>
  <si>
    <t>X-NUCLEO-IHM15A1 - 4</t>
  </si>
  <si>
    <t>X-NUCLEO-IHM09M2 - 1</t>
  </si>
  <si>
    <t>X-NUCLEO-IHM09M2 - 2</t>
  </si>
  <si>
    <t>X-NUCLEO-IHM09M1 - 1</t>
  </si>
  <si>
    <t>X-NUCLEO-IDW01M1 - 1</t>
  </si>
  <si>
    <t>X-NUCLEO-IDS01A5 - 1</t>
  </si>
  <si>
    <t>X-NUCLEO-IDS01A5 - 2</t>
  </si>
  <si>
    <t>X-NUCLEO-IDS01A4 - 1</t>
  </si>
  <si>
    <t>X-NUCLEO-IDS01A4 - 2</t>
  </si>
  <si>
    <t>X-NUCLEO-IDS01A4 - 3</t>
  </si>
  <si>
    <t>X-NUCLEO-IDB05A2 - 1</t>
  </si>
  <si>
    <t>X-NUCLEO-IDB05A1 - 1</t>
  </si>
  <si>
    <t>X-NUCLEO-IDB05A1 - 2</t>
  </si>
  <si>
    <t>X-NUCLEO-IDB05A1 - 3</t>
  </si>
  <si>
    <t>X-NUCLEO-IDB05A1 - 4</t>
  </si>
  <si>
    <t>X-NUCLEO-IDB05A1 - 5</t>
  </si>
  <si>
    <t>X-NUCLEO-IDB04A1 - 1</t>
  </si>
  <si>
    <t>X-NUCLEO-IDB04A1 - 2</t>
  </si>
  <si>
    <t>X-NUCLEO-IDB04A1 - 3</t>
  </si>
  <si>
    <t>X-NUCLEO-GFX02Z1 AZ2 - 1</t>
  </si>
  <si>
    <t>X-NUCLEO-GFX02Z1 AZ2 - 2</t>
  </si>
  <si>
    <t>X-NUCLEO-GFX02Z1 AZ2 - 3</t>
  </si>
  <si>
    <t>X-NUCLEO-GFX02Z1 AZ2 - 4</t>
  </si>
  <si>
    <t>X-NUCLEO-GFX02Z1 AZ2 - 5</t>
  </si>
  <si>
    <t>X-NUCLEO-GFX02Z1 AZ2 - 6</t>
  </si>
  <si>
    <t>X-NUCLEO-GFX02Z1 AZ2 - 7</t>
  </si>
  <si>
    <t>X-NUCLEO-GFX02Z1 AZ1 - 1</t>
  </si>
  <si>
    <t>X-NUCLEO-GFX02Z1 AZ1 - 2</t>
  </si>
  <si>
    <t>X-NUCLEO-GFX02Z1 AZ1 - 3</t>
  </si>
  <si>
    <t>X-NUCLEO-GFX02Z1 AZ1 - 4</t>
  </si>
  <si>
    <t>X-NUCLEO-GFX02Z1 AZ1 - 5</t>
  </si>
  <si>
    <t>X-NUCLEO-GFX02Z1 AZ1 - 6</t>
  </si>
  <si>
    <t>X-NUCLEO-GFX01M2 AZ2 - 1</t>
  </si>
  <si>
    <t>X-NUCLEO-GFX01M2 AZ2 - 2</t>
  </si>
  <si>
    <t>X-NUCLEO-GFX01M2 AZ2 - 3</t>
  </si>
  <si>
    <t>X-NUCLEO-GFX01M2 AZ2 - 4</t>
  </si>
  <si>
    <t>X-NUCLEO-GFX01M2 AZ1 - 1</t>
  </si>
  <si>
    <t>X-NUCLEO-GFX01M2 AZ1 - 2</t>
  </si>
  <si>
    <t>X-NUCLEO-GFX01M2 AZ1 - 3</t>
  </si>
  <si>
    <t>X-NUCLEO-GFX01M2 AZ1 - 4</t>
  </si>
  <si>
    <t>X-NUCLEO-GFX01M1 - 1</t>
  </si>
  <si>
    <t>X-NUCLEO-GFX01M1 - 2</t>
  </si>
  <si>
    <t>X-NUCLEO-GFX01M1 - 3</t>
  </si>
  <si>
    <t>X-NUCLEO-GFX01M1 - 4</t>
  </si>
  <si>
    <t>X-NUCLEO-GFX01M1 - 5</t>
  </si>
  <si>
    <t>X-NUCLEO-GFX01M1 - 6</t>
  </si>
  <si>
    <t>X-NUCLEO-GFX01M1 - 7</t>
  </si>
  <si>
    <t>X-NUCLEO-EEPRMA2 - 1</t>
  </si>
  <si>
    <t>X-NUCLEO-EEPRMA2 - 2</t>
  </si>
  <si>
    <t>X-NUCLEO-EEPRMA2 - 3</t>
  </si>
  <si>
    <t>X-NUCLEO-EEPRMA2 - 4</t>
  </si>
  <si>
    <t>X-NUCLEO-EEPRMA2 - 5</t>
  </si>
  <si>
    <t>X-NUCLEO-EEPRMA2 - 6</t>
  </si>
  <si>
    <t>X-NUCLEO-EEPRMA1 - 1</t>
  </si>
  <si>
    <t>X-NUCLEO-EEPRMA1 - 2</t>
  </si>
  <si>
    <t>X-NUCLEO-EEPRMA1 - 3</t>
  </si>
  <si>
    <t>X-NUCLEO-EEICA1 - 1</t>
  </si>
  <si>
    <t>X-NUCLEO-EEICA1 - 2</t>
  </si>
  <si>
    <t>X-NUCLEO-EEICA1 - 3</t>
  </si>
  <si>
    <t>X-NUCLEO-EEICA1 - 4</t>
  </si>
  <si>
    <t>X-NUCLEO-DRP1M1 - 1</t>
  </si>
  <si>
    <t>X-NUCLEO-DRP1M1 - 2</t>
  </si>
  <si>
    <t>X-NUCLEO-CCA02M2 - 1</t>
  </si>
  <si>
    <t>X-NUCLEO-CCA02M2 - 2</t>
  </si>
  <si>
    <t>X-NUCLEO-CCA02M2 - 3</t>
  </si>
  <si>
    <t>X-NUCLEO-CCA01M1 - 1</t>
  </si>
  <si>
    <t>X-NUCLEO-CCA01M1 - 2</t>
  </si>
  <si>
    <t>X-NUCLEO-AMICAM1 - 1</t>
  </si>
  <si>
    <t>X-NUCLEO-6180XA1 - 1</t>
  </si>
  <si>
    <t>X-NUCLEO-6180XA1 - 2</t>
  </si>
  <si>
    <t>X-NUCLEO-6180XA1 - 3</t>
  </si>
  <si>
    <t>X-NUCLEO-53L8A1 - 1</t>
  </si>
  <si>
    <t>X-NUCLEO-53L8A1 - 2</t>
  </si>
  <si>
    <t>X-NUCLEO-53L8A1 - 3</t>
  </si>
  <si>
    <t>X-NUCLEO-53L8A1 - 4</t>
  </si>
  <si>
    <t>X-NUCLEO-53L8A1 - 5</t>
  </si>
  <si>
    <t>X-NUCLEO-53L8A1 - 6</t>
  </si>
  <si>
    <t>X-NUCLEO-53L7A1 - 1</t>
  </si>
  <si>
    <t>X-NUCLEO-53L7A1 - 2</t>
  </si>
  <si>
    <t>X-NUCLEO-53L7A1 - 3</t>
  </si>
  <si>
    <t>X-NUCLEO-53L7A1 - 4</t>
  </si>
  <si>
    <t>X-NUCLEO-53L7A1 - 5</t>
  </si>
  <si>
    <t>X-NUCLEO-53L7A1 - 6</t>
  </si>
  <si>
    <t>X-NUCLEO-53L4A2 - 1</t>
  </si>
  <si>
    <t>X-NUCLEO-53L4A2 - 2</t>
  </si>
  <si>
    <t>X-NUCLEO-53L4A1 - 1</t>
  </si>
  <si>
    <t>X-NUCLEO-53L4A1 - 2</t>
  </si>
  <si>
    <t>X-NUCLEO-53L3A2 - 1</t>
  </si>
  <si>
    <t>X-NUCLEO-53L3A2 - 2</t>
  </si>
  <si>
    <t>X-NUCLEO-53L3A2 - 3</t>
  </si>
  <si>
    <t>X-NUCLEO-53L3A2 - 4</t>
  </si>
  <si>
    <t>X-NUCLEO-53L1A1 - 1</t>
  </si>
  <si>
    <t>X-NUCLEO-53L1A1 - 2</t>
  </si>
  <si>
    <t>X-NUCLEO-53L0A1 - 1</t>
  </si>
  <si>
    <t>X-NUCLEO-53L0A1 - 2</t>
  </si>
  <si>
    <t>X-NUCLEO-53L0A1 - 3</t>
  </si>
  <si>
    <t>RVA35HI-NUC144A - 1</t>
  </si>
  <si>
    <t>RVA35HI-NUC144A - 2</t>
  </si>
  <si>
    <t>RVA15MD-NUC64A - 1</t>
  </si>
  <si>
    <t>RVA15MD-NUC64A - 2</t>
  </si>
  <si>
    <t>B-LCDAD-RPI1 - 1</t>
  </si>
  <si>
    <t>B-LCDAD-RPI1 - 2</t>
  </si>
  <si>
    <t>B-LCDAD-HDMI1 - 1</t>
  </si>
  <si>
    <t>B-LCDAD-HDMI1 - 2</t>
  </si>
  <si>
    <t>B-LCD40-DSI1 - 1</t>
  </si>
  <si>
    <t>B-LCD40-DSI1 - 2</t>
  </si>
  <si>
    <t>B-CAMS-OMV - 1</t>
  </si>
  <si>
    <t>B-CAMS-OMV - 2</t>
  </si>
  <si>
    <t>B-CAMS-OMV - 3</t>
  </si>
  <si>
    <t>B-CAMS-OMV - 4</t>
  </si>
  <si>
    <t>B-CAMS-OMV - 5</t>
  </si>
  <si>
    <t>B-CAMS-OMV - 6</t>
  </si>
  <si>
    <t>B-CAMS-IMX (MZ1) - 1</t>
  </si>
  <si>
    <t>B-CAMS-IMX (MZ1) - 2</t>
  </si>
  <si>
    <t>B-CAMS-IMX (MZ1) - 3</t>
  </si>
  <si>
    <t>B-CAMS-IMX (MZ1) - 4</t>
  </si>
  <si>
    <t>B-CAMS-IMX (MZ1) - 5</t>
  </si>
  <si>
    <t>B-CAMS-IMX (MZ1) - 6</t>
  </si>
  <si>
    <t>B-CAMS-IMX (MZ2) - 1</t>
  </si>
  <si>
    <t>B-CAMS-IMX (MZ2) - 2</t>
  </si>
  <si>
    <t>B-CAMS-IMX (MZ2) - 3</t>
  </si>
  <si>
    <t>B-CAMS-IMX (MZ2) - 4</t>
  </si>
  <si>
    <t>STM32MP257F-DK ($AR1) - 1</t>
  </si>
  <si>
    <t>STM32MP257F-DK ($AR1) - 2</t>
  </si>
  <si>
    <t>STM32MP157F-DK2 - 1</t>
  </si>
  <si>
    <t>STM32MP157F-DK2 - 2</t>
  </si>
  <si>
    <t>STM32MP157D-DK1 - 1</t>
  </si>
  <si>
    <t>STM32MP157D-DK1 - 2</t>
  </si>
  <si>
    <t>STM32MP157C-DK2 - 1</t>
  </si>
  <si>
    <t>STM32MP157C-DK2 - 2</t>
  </si>
  <si>
    <t>STM32MP157C-DK2 - 3</t>
  </si>
  <si>
    <t>STM32MP157C-DK2 - 4</t>
  </si>
  <si>
    <t>STM32MP157C-DK2 - 5</t>
  </si>
  <si>
    <t>STM32MP157C-DK2 - 6</t>
  </si>
  <si>
    <t>STM32MP157A-DK1 - 1</t>
  </si>
  <si>
    <t>STM32MP157A-DK1 - 2</t>
  </si>
  <si>
    <t>STM32MP135F-DK - 1</t>
  </si>
  <si>
    <t>STM32MP135F-DK - 2</t>
  </si>
  <si>
    <t>STM32MP135F-DK - 3</t>
  </si>
  <si>
    <t>STM32MP135F-DK - 4</t>
  </si>
  <si>
    <t>STM32MP135F-DK - 5</t>
  </si>
  <si>
    <t>STM32MP135F-DK - 6</t>
  </si>
  <si>
    <t>STM32MP135F-DK - 7</t>
  </si>
  <si>
    <t>STM32MP135F-DK - 8</t>
  </si>
  <si>
    <t>STM32WBA65I-DK1 (DR2) - 1</t>
  </si>
  <si>
    <t>STM32WBA65I-DK1 (DR2) - 2</t>
  </si>
  <si>
    <t>STM32WBA65I-DK1 (DR2) - 3</t>
  </si>
  <si>
    <t>STM32WBA55G-DK1 (DR1) - 1</t>
  </si>
  <si>
    <t>STM32WBA55G-DK1 (DR1) - 2</t>
  </si>
  <si>
    <t>STM32WBA55G-DK1 (DR1) - 3</t>
  </si>
  <si>
    <t>STM32WBA55G-DK1 (DR1) - 4</t>
  </si>
  <si>
    <t>STM32WBA55G-DK1 (DR1) - 5</t>
  </si>
  <si>
    <t>STM32WBA55G-DK1 (DR1) - 6</t>
  </si>
  <si>
    <t>STM32WB5MM-DK - 1</t>
  </si>
  <si>
    <t>STM32WB5MM-DK - 2</t>
  </si>
  <si>
    <t>STM32WB5MM-DK - 3</t>
  </si>
  <si>
    <t>STM32WB5MM-DK - 4</t>
  </si>
  <si>
    <t>STM32WB5MM-DK - 5</t>
  </si>
  <si>
    <t>STM32WB5MM-DK - 6</t>
  </si>
  <si>
    <t>STM32WB5MM-DK - 7</t>
  </si>
  <si>
    <t>STM32WB5MM-DK - 8</t>
  </si>
  <si>
    <t>STM32WB5MM-DK - 9</t>
  </si>
  <si>
    <t>STM32WB5MM-DK - 10</t>
  </si>
  <si>
    <t>STM32U5G9J-DK2 (AR2) - 1</t>
  </si>
  <si>
    <t>STM32U5G9J-DK2 (AR2) - 2</t>
  </si>
  <si>
    <t>STM32U5G9J-DK2 (AR2) - 3</t>
  </si>
  <si>
    <t>STM32U5G9J-DK2 (AR2) - 4</t>
  </si>
  <si>
    <t>STM32U5G9J-DK2 (AR2) - 5</t>
  </si>
  <si>
    <t>STM32U5G9J-DK2 (AR2) - 6</t>
  </si>
  <si>
    <t>STM32U5G9J-DK2 (AR2) - 7</t>
  </si>
  <si>
    <t>STM32U5G9J-DK2 (AR2) - 8</t>
  </si>
  <si>
    <t>STM32U5G9J-DK2 (AR1) - 1</t>
  </si>
  <si>
    <t>STM32U5G9J-DK2 (AR1) - 2</t>
  </si>
  <si>
    <t>STM32U5G9J-DK2 (AR1) - 3</t>
  </si>
  <si>
    <t>STM32U5G9J-DK2 (AR1) - 4</t>
  </si>
  <si>
    <t>STM32U5G9J-DK2 (AR1) - 5</t>
  </si>
  <si>
    <t>STM32U5G9J-DK2 (AR1) - 6</t>
  </si>
  <si>
    <t>STM32U5G9J-DK1 (AT1) - 1</t>
  </si>
  <si>
    <t>STM32U5G9J-DK1 (AT1) - 2</t>
  </si>
  <si>
    <t>STM32U5G9J-DK1 (AT1) - 3</t>
  </si>
  <si>
    <t>STM32U5G9J-DK1 (AT1) - 4</t>
  </si>
  <si>
    <t>STM32U5A9J-DK (AT2) - 1</t>
  </si>
  <si>
    <t>STM32U5A9J-DK (AT2) - 2</t>
  </si>
  <si>
    <t>STM32U5A9J-DK (AT2) - 3</t>
  </si>
  <si>
    <t>STM32U5A9J-DK (AT2) - 4</t>
  </si>
  <si>
    <t>STM32U5A9J-DK (AT2) - 5</t>
  </si>
  <si>
    <t>STM32U5A9J-DK (AT2) - 6</t>
  </si>
  <si>
    <t>STM32U5A9J-DK (AT1) - 1</t>
  </si>
  <si>
    <t>STM32U5A9J-DK (AT1) - 2</t>
  </si>
  <si>
    <t>STM32U5A9J-DK (AT1) - 3</t>
  </si>
  <si>
    <t>STM32U5A9J-DK (AT1) - 4</t>
  </si>
  <si>
    <t>STM32U5A9J-DK (AT1) - 5</t>
  </si>
  <si>
    <t>STM32U5A9J-DK (AT1) - 6</t>
  </si>
  <si>
    <t>STM32U5A9J-DK (AT1) - 7</t>
  </si>
  <si>
    <t>STM32U5A9J-DK (AT1) - 8</t>
  </si>
  <si>
    <t>STM32U5A9J-DK (AT1) - 9</t>
  </si>
  <si>
    <t>STM32U599J-DK (AT8) - 1</t>
  </si>
  <si>
    <t>STM32U599J-DK (AT8) - 2</t>
  </si>
  <si>
    <t>STM32U599J-DK (AT8) - 3</t>
  </si>
  <si>
    <t>STM32U599J-DK (AT8) - 4</t>
  </si>
  <si>
    <t>STM32U599J-DK (AT8) - 5</t>
  </si>
  <si>
    <t>STM32U599J-DK (AT7) - 1</t>
  </si>
  <si>
    <t>STM32U599J-DK (AT4) - 1</t>
  </si>
  <si>
    <t>STM32U083C-DK (KS1) - 1</t>
  </si>
  <si>
    <t>STM32U083C-DK (KS1) - 2</t>
  </si>
  <si>
    <t>STM32U083C-DK (KS1) - 3</t>
  </si>
  <si>
    <t>STM32U083C-DK (KS1) - 4</t>
  </si>
  <si>
    <t>STM32U083C-DK (KS1) - 5</t>
  </si>
  <si>
    <t>STM32U083C-DK (KS1) - 6</t>
  </si>
  <si>
    <t>STM32U083C-DK (KS1) - 7</t>
  </si>
  <si>
    <t>STM32U083C-DK (KS2) - 1</t>
  </si>
  <si>
    <t>STM32U083C-DK (KS2) - 2</t>
  </si>
  <si>
    <t>STM32U083C-DK (KS2) - 3</t>
  </si>
  <si>
    <t>STM32U083C-DK (KS2) - 4</t>
  </si>
  <si>
    <t>STM32U083C-DK (KS2) - 5</t>
  </si>
  <si>
    <t>STM32N6570-DK (CR1) Cut 2.0 - 1</t>
  </si>
  <si>
    <t>STM32N6570-DK (CR1) Cut 2.0 - 2</t>
  </si>
  <si>
    <t>STM32N6570-DK (CR1) Cut 2.0 - 3</t>
  </si>
  <si>
    <t>STM32N6570-DK (CR5) Cut 2.0 - 1</t>
  </si>
  <si>
    <t>STM32N6570-DK (CR5) Cut 2.0 - 2</t>
  </si>
  <si>
    <t>STM32N6570-DK (CR4) Cut 1.1 - 1</t>
  </si>
  <si>
    <t>STM32N6570-DK (CR2) Cut 1.1 - 1</t>
  </si>
  <si>
    <t>STM32N6570-DK (CR2) Cut 1.1 - 2</t>
  </si>
  <si>
    <t>STM32L562E-DK - 1</t>
  </si>
  <si>
    <t>STM32L562E-DK - 2</t>
  </si>
  <si>
    <t>STM32L562E-DK - 3</t>
  </si>
  <si>
    <t>STM32L562E-DK - 4</t>
  </si>
  <si>
    <t>STM32L562E-DK - 5</t>
  </si>
  <si>
    <t>STM32L562E-DK - 6</t>
  </si>
  <si>
    <t>STM32L562E-DK - 7</t>
  </si>
  <si>
    <t>STM32L562E-DK - 8</t>
  </si>
  <si>
    <t>STM32L562E-DK - 9</t>
  </si>
  <si>
    <t>STM32L562E-DK - 10</t>
  </si>
  <si>
    <t>STM32L562E-DK - 11</t>
  </si>
  <si>
    <t>STM32L562E-DK - 12</t>
  </si>
  <si>
    <t>STM32L562E-DK - 13</t>
  </si>
  <si>
    <t>STM32L562E-DK - 14</t>
  </si>
  <si>
    <t>STM32L4R9I-DISCO - 1</t>
  </si>
  <si>
    <t>STM32L4R9I-DISCO - 2</t>
  </si>
  <si>
    <t>STM32L4R9I-DISCO - 3</t>
  </si>
  <si>
    <t>STM32L4R9I-DISCO - 4</t>
  </si>
  <si>
    <t>STM32L4R9I-DISCO - 5</t>
  </si>
  <si>
    <t>STM32L4R9I-DISCO - 6</t>
  </si>
  <si>
    <t>STM32L4R9I-DISCO - 7</t>
  </si>
  <si>
    <t>STM32L4P5G-DK - 1</t>
  </si>
  <si>
    <t>STM32L4P5G-DK - 2</t>
  </si>
  <si>
    <t>STM32L4P5G-DK - 3</t>
  </si>
  <si>
    <t>STM32L4P5G-DK - 4</t>
  </si>
  <si>
    <t>STM32L496G-DISCO - 1</t>
  </si>
  <si>
    <t>STM32L496G-DISCO - 2</t>
  </si>
  <si>
    <t>STM32L496G-DISCO - 3</t>
  </si>
  <si>
    <t>STM32L496G-DISCO - 4</t>
  </si>
  <si>
    <t>STM32L496G-DISCO - 5</t>
  </si>
  <si>
    <t>STM32L496G-DISCO - 6</t>
  </si>
  <si>
    <t>STM32L496G-DISCO - 7</t>
  </si>
  <si>
    <t>STM32L496G-DISCO - 8</t>
  </si>
  <si>
    <t>STM32L496G-DISCO - 9</t>
  </si>
  <si>
    <t>STM32L496G-DISCO - 10</t>
  </si>
  <si>
    <t>STM32L476G-DISCO - 1</t>
  </si>
  <si>
    <t>STM32L476G-DISCO - 2</t>
  </si>
  <si>
    <t>STM32L476G-DISCO - 3</t>
  </si>
  <si>
    <t>STM32L476G-DISCO - 4</t>
  </si>
  <si>
    <t>STM32L476G-DISCO - 5</t>
  </si>
  <si>
    <t>STM32L476G-DISCO - 6</t>
  </si>
  <si>
    <t>STM32L476G-DISCO - 7</t>
  </si>
  <si>
    <t>STM32L-DISCOVERY - 1</t>
  </si>
  <si>
    <t>STM32L-DISCOVERY - 2</t>
  </si>
  <si>
    <t>STM32L-DISCOVERY - 3</t>
  </si>
  <si>
    <t>STM32L152C-DISCO - 1</t>
  </si>
  <si>
    <t>STM32L152C-DISCO - 2</t>
  </si>
  <si>
    <t>STM32L152C-DISCO - 3</t>
  </si>
  <si>
    <t>STM32L100C-DISCO - 1</t>
  </si>
  <si>
    <t>STM32L0538-DISCO - 1</t>
  </si>
  <si>
    <t>STM32L0538-DISCO - 2</t>
  </si>
  <si>
    <t>STM32L0538-DISCO - 3</t>
  </si>
  <si>
    <t>STM32L0538-DISCO - 4</t>
  </si>
  <si>
    <t>STM32H7S78-DK (KR1) - 1</t>
  </si>
  <si>
    <t>STM32H7S78-DK (KR1) - 2</t>
  </si>
  <si>
    <t>STM32H7S78-DK (KR1) - 3</t>
  </si>
  <si>
    <t>STM32H7S78-DK (KR1) - 4</t>
  </si>
  <si>
    <t>STM32H7S78-DK (KR1) - 5</t>
  </si>
  <si>
    <t>STM32H7S78-DK (KR1) - 6</t>
  </si>
  <si>
    <t>STM32H7S78-DK (KT4) - 1</t>
  </si>
  <si>
    <t>STM32H7S78-DK (KT3) - 1</t>
  </si>
  <si>
    <t>STM32H7S78-DK (KT3) - 2</t>
  </si>
  <si>
    <t>STM32H7S78-DK (KT3) - 3</t>
  </si>
  <si>
    <t>STM32H7S78-DK (KT3) - 4</t>
  </si>
  <si>
    <t>STM32H7S78-DK (KT3) - 5</t>
  </si>
  <si>
    <t>STM32H7B3I-DK (AT4) - 1</t>
  </si>
  <si>
    <t>STM32H7B3I-DK (AT4) - 2</t>
  </si>
  <si>
    <t>STM32H7B3I-DK - 1</t>
  </si>
  <si>
    <t>STM32H7B3I-DK - 2</t>
  </si>
  <si>
    <t>STM32H7B3I-DK - 3</t>
  </si>
  <si>
    <t>STM32H7B3I-DK - 4</t>
  </si>
  <si>
    <t>STM32H7B3I-DK - 5</t>
  </si>
  <si>
    <t>STM32H7B3I-DK - 6</t>
  </si>
  <si>
    <t>STM32H7B3I-DK - 7</t>
  </si>
  <si>
    <t>STM32H7B3I-DK - 8</t>
  </si>
  <si>
    <t>STM32H7B3I-DK - 9</t>
  </si>
  <si>
    <t>STM32H750B-DK - 1</t>
  </si>
  <si>
    <t>STM32H750B-DK - 2</t>
  </si>
  <si>
    <t>STM32H750B-DK - 3</t>
  </si>
  <si>
    <t>STM32H750B-DK - 4</t>
  </si>
  <si>
    <t>STM32H750B-DK - 5</t>
  </si>
  <si>
    <t>STM32H750B-DK - 6</t>
  </si>
  <si>
    <t>STM32H750B-DK - 7</t>
  </si>
  <si>
    <t>STM32H750B-DK - 8</t>
  </si>
  <si>
    <t>STM32H750B-DK - 9</t>
  </si>
  <si>
    <t>STM32H750B-DK - 10</t>
  </si>
  <si>
    <t>STM32H750B-DK - 11</t>
  </si>
  <si>
    <t>STM32H747I-DISCO (AT3) - 1</t>
  </si>
  <si>
    <t>STM32H747I-DISCO (AT3) - 2</t>
  </si>
  <si>
    <t>STM32H747I-DISCO (AT3) - 3</t>
  </si>
  <si>
    <t>STM32H747I-DISCO (AT3) - 4</t>
  </si>
  <si>
    <t>STM32H747I-DISCO (AT2) - 1</t>
  </si>
  <si>
    <t>STM32H747I-DISCO (AT2) - 2</t>
  </si>
  <si>
    <t>STM32H747I-DISCO - 1</t>
  </si>
  <si>
    <t>STM32H747I-DISCO - 2</t>
  </si>
  <si>
    <t>STM32H747I-DISCO - 3</t>
  </si>
  <si>
    <t>STM32H747I-DISCO - 4</t>
  </si>
  <si>
    <t>STM32H747I-DISC1 - 1</t>
  </si>
  <si>
    <t>STM32H747I-DISC1 - 2</t>
  </si>
  <si>
    <t>STM32H747I-DISC1 - 3</t>
  </si>
  <si>
    <t>STM32H745I-DISCO - 1</t>
  </si>
  <si>
    <t>STM32H745I-DISCO - 2</t>
  </si>
  <si>
    <t>STM32H745I-DISCO - 3</t>
  </si>
  <si>
    <t>STM32H745I-DISCO - 4</t>
  </si>
  <si>
    <t>STM32H745I-DISCO - 5</t>
  </si>
  <si>
    <t>STM32H735G-DK - 1</t>
  </si>
  <si>
    <t>STM32H735G-DK - 2</t>
  </si>
  <si>
    <t>STM32H735G-DK - 3</t>
  </si>
  <si>
    <t>STM32H735G-DK - 4</t>
  </si>
  <si>
    <t>STM32H735G-DK - 5</t>
  </si>
  <si>
    <t>STM32H735G-DK - 6</t>
  </si>
  <si>
    <t>STM32H735G-DK - 7</t>
  </si>
  <si>
    <t>STM32H725G-DK - 1</t>
  </si>
  <si>
    <t>STM32H725G-DK - 2</t>
  </si>
  <si>
    <t>STM32H573I-DK (MR1) - 1</t>
  </si>
  <si>
    <t>STM32H573I-DK (MR1) - 2</t>
  </si>
  <si>
    <t>STM32H573I-DK (MR1) - 3</t>
  </si>
  <si>
    <t>STM32H573I-DK (MR1) - 4</t>
  </si>
  <si>
    <t>STM32H573I-DK (MR1) - 5</t>
  </si>
  <si>
    <t>STM32H573I-DK (MR1) - 6</t>
  </si>
  <si>
    <t>STM32H573I-DK (MR1) - 7</t>
  </si>
  <si>
    <t>STM32H573I-DK (MR1) - 8</t>
  </si>
  <si>
    <t>STM32H573I-DK (MT3) - 1</t>
  </si>
  <si>
    <t>STM32H573I-DK (MT3) - 2</t>
  </si>
  <si>
    <t>STM32H573I-DK (MT3) - 3</t>
  </si>
  <si>
    <t>STM32H573I-DK (MT3) - 4</t>
  </si>
  <si>
    <t>STM32G071B-DISCO - 1</t>
  </si>
  <si>
    <t>STM32G071B-DISCO - 2</t>
  </si>
  <si>
    <t>STM32G071B-DISCO - 3</t>
  </si>
  <si>
    <t>STM32G071B-DISCO - 4</t>
  </si>
  <si>
    <t>STM32G071B-DISCO - 5</t>
  </si>
  <si>
    <t>STM32G071B-DISCO - 6</t>
  </si>
  <si>
    <t>STM32G071B-DISCO - 7</t>
  </si>
  <si>
    <t>STM32G0316-DISCO - 1</t>
  </si>
  <si>
    <t>STM32G0316-DISCO - 2</t>
  </si>
  <si>
    <t>STM32G0316-DISCO - 3</t>
  </si>
  <si>
    <t>STM32G0316-DISCO - 4</t>
  </si>
  <si>
    <t>STM32G0316-DISCO - 5</t>
  </si>
  <si>
    <t>STM32F769I-DISCO (AU1) - 1</t>
  </si>
  <si>
    <t>STM32F769I-DISCO (AU1) - 2</t>
  </si>
  <si>
    <t>STM32F769I-DISCO - 1</t>
  </si>
  <si>
    <t>STM32F769I-DISCO - 2</t>
  </si>
  <si>
    <t>STM32F769I-DISCO - 3</t>
  </si>
  <si>
    <t>STM32F769I-DISCO - 4</t>
  </si>
  <si>
    <t>STM32F769I-DISCO - 5</t>
  </si>
  <si>
    <t>STM32F769I-DISCO - 6</t>
  </si>
  <si>
    <t>STM32F769I-DISCO - 7</t>
  </si>
  <si>
    <t>STM32F769I-DISCO - 8</t>
  </si>
  <si>
    <t>STM32F769I-DISCO - 9</t>
  </si>
  <si>
    <t>STM32F769I-DISCO - 10</t>
  </si>
  <si>
    <t>STM32F769I-DISCO - 11</t>
  </si>
  <si>
    <t>STM32F769I-DISCO - 12</t>
  </si>
  <si>
    <t>STM32F769I-DISC1 - 1</t>
  </si>
  <si>
    <t>STM32F769I-DISC1 - 2</t>
  </si>
  <si>
    <t>STM32F7508-DK - 1</t>
  </si>
  <si>
    <t>STM32F7508-DK - 2</t>
  </si>
  <si>
    <t>STM32F7508-DK - 3</t>
  </si>
  <si>
    <t>STM32F7508-DK - 4</t>
  </si>
  <si>
    <t>STM32F746G-DISCO (CU4) - 1</t>
  </si>
  <si>
    <t>STM32F746G-DISCO (CU4) - 2</t>
  </si>
  <si>
    <t>STM32F746G-DISCO (CU4) - 3</t>
  </si>
  <si>
    <t>STM32F746G-DISCO (CU4) - 4</t>
  </si>
  <si>
    <t>STM32F746G-DISCO (CU2) - 1</t>
  </si>
  <si>
    <t>STM32F746G-DISCO (CU2) - 2</t>
  </si>
  <si>
    <t>STM32F746G-DISCO (CU2) - 3</t>
  </si>
  <si>
    <t>STM32F746G-DISCO (CU2) - 4</t>
  </si>
  <si>
    <t>STM32F746G-DISCO - 1</t>
  </si>
  <si>
    <t>STM32F746G-DISCO - 2</t>
  </si>
  <si>
    <t>STM32F746G-DISCO - 3</t>
  </si>
  <si>
    <t>STM32F746G-DISCO - 4</t>
  </si>
  <si>
    <t>STM32F746G-DISCO - 5</t>
  </si>
  <si>
    <t>STM32F746G-DISCO - 6</t>
  </si>
  <si>
    <t>STM32F746G-DISCO - 7</t>
  </si>
  <si>
    <t>STM32F746G-DISCO - 8</t>
  </si>
  <si>
    <t>STM32F746G-DISCO - 9</t>
  </si>
  <si>
    <t>STM32F746G-DISCO - 10</t>
  </si>
  <si>
    <t>STM32F746G-DISCO - 11</t>
  </si>
  <si>
    <t>STM32F746G-DISCO - 12</t>
  </si>
  <si>
    <t>STM32F7308-DK - 1</t>
  </si>
  <si>
    <t>STM32F7308-DK - 2</t>
  </si>
  <si>
    <t>STM32F723E-DISCO - 1</t>
  </si>
  <si>
    <t>STM32F723E-DISCO - 2</t>
  </si>
  <si>
    <t>STM32F723E-DISCO - 3</t>
  </si>
  <si>
    <t>STM32F723E-DISCO - 4</t>
  </si>
  <si>
    <t>STM32F723E-DISCO - 5</t>
  </si>
  <si>
    <t>STM32F469I-DISCO - 1</t>
  </si>
  <si>
    <t>STM32F469I-DISCO - 2</t>
  </si>
  <si>
    <t>STM32F469I-DISCO - 3</t>
  </si>
  <si>
    <t>STM32F469I-DISCO - 4</t>
  </si>
  <si>
    <t>STM32F469I-DISCO - 5</t>
  </si>
  <si>
    <t>STM32F469I-DISCO - 6</t>
  </si>
  <si>
    <t>STM32F469I-DISCO - 7</t>
  </si>
  <si>
    <t>STM32F469I-DISCO - 8</t>
  </si>
  <si>
    <t>STM32F469I-DISCO - 9</t>
  </si>
  <si>
    <t>STM32F469I-DISCO - 10</t>
  </si>
  <si>
    <t>STM32F429I-DISC1 - 1</t>
  </si>
  <si>
    <t>STM32F429I-DISC1 - 2</t>
  </si>
  <si>
    <t>STM32F429I-DISC1 - 3</t>
  </si>
  <si>
    <t>STM32F429I-DISC1 - 4</t>
  </si>
  <si>
    <t>STM32F429I-DISC1 - 5</t>
  </si>
  <si>
    <t>STM32F429I-DISC1 - 6</t>
  </si>
  <si>
    <t>STM32F429I-DISC1 - 7</t>
  </si>
  <si>
    <t>STM32F429I-DISCO - 1</t>
  </si>
  <si>
    <t>STM32F429I-DISCO - 2</t>
  </si>
  <si>
    <t>STM32F429I-DISCO - 3</t>
  </si>
  <si>
    <t>STM32F413H-DISCO - 1</t>
  </si>
  <si>
    <t>STM32F413H-DISCO - 2</t>
  </si>
  <si>
    <t>STM32F413H-DISCO - 3</t>
  </si>
  <si>
    <t>STM32F413H-DISCO - 4</t>
  </si>
  <si>
    <t>STM32F413H-DISCO - 5</t>
  </si>
  <si>
    <t>STM32F413H-DISCO - 6</t>
  </si>
  <si>
    <t>STM32F413H-DISCO - 7</t>
  </si>
  <si>
    <t>STM32F412G-DISCO - 1</t>
  </si>
  <si>
    <t>STM32F412G-DISCO - 2</t>
  </si>
  <si>
    <t>STM32F412G-DISCO - 3</t>
  </si>
  <si>
    <t>STM32F412G-DISCO - 4</t>
  </si>
  <si>
    <t>STM32F412G-DISCO - 5</t>
  </si>
  <si>
    <t>STM32F412G-DISCO - 6</t>
  </si>
  <si>
    <t>STM32F412G-DISCO - 7</t>
  </si>
  <si>
    <t>STM32F412G-DISCO - 8</t>
  </si>
  <si>
    <t>STM32F411E-DISCO - 1</t>
  </si>
  <si>
    <t>STM32F411E-DISCO - 2</t>
  </si>
  <si>
    <t>STM32F411E-DISCO - 3</t>
  </si>
  <si>
    <t>STM32F411E-DISCO - 4</t>
  </si>
  <si>
    <t>STM32F407G-DISC1 - 1</t>
  </si>
  <si>
    <t>STM32F407G-DISC1 - 2</t>
  </si>
  <si>
    <t>STM32F407G-DISC1 - 3</t>
  </si>
  <si>
    <t>STM32F407G-DISC1 - 4</t>
  </si>
  <si>
    <t>STM32F407G-DISC1 - 5</t>
  </si>
  <si>
    <t>STM32F407G-DISC1 - 6</t>
  </si>
  <si>
    <t>STM32F407G-DISC1 - 7</t>
  </si>
  <si>
    <t>STM32F407G-DISC1 - 8</t>
  </si>
  <si>
    <t>STM32F407G-DISC1 - 9</t>
  </si>
  <si>
    <t>ST23DV-Discovery Kit - 1</t>
  </si>
  <si>
    <t>STM32F401C-DISCO - 1</t>
  </si>
  <si>
    <t>STM32F401C-DISCO - 2</t>
  </si>
  <si>
    <t>STM32F3DISCOVERY - 1</t>
  </si>
  <si>
    <t>STM32F3DISCOVERY - 2</t>
  </si>
  <si>
    <t>STM32F3DISCOVERY - 3</t>
  </si>
  <si>
    <t>STM32F3DISCOVERY - 4</t>
  </si>
  <si>
    <t>STM32F3DISCOVERY - 5</t>
  </si>
  <si>
    <t>STM32F3DISCOVERY - 6</t>
  </si>
  <si>
    <t>STM32F3348-DISCO - 1</t>
  </si>
  <si>
    <t>STM32VLDISCOVERY - 1</t>
  </si>
  <si>
    <t>STM32F072B-DISCO - 1</t>
  </si>
  <si>
    <t>STM32F072B-DISCO - 2</t>
  </si>
  <si>
    <t>STM32F072B-DISCO - 3</t>
  </si>
  <si>
    <t>STM32F072B-DISCO - 4</t>
  </si>
  <si>
    <t>STM32F072B-DISCO - 5</t>
  </si>
  <si>
    <t>STM32F0308-DISCO - 1</t>
  </si>
  <si>
    <t>STM32F0308-DISCO - 2</t>
  </si>
  <si>
    <t>STM32F0308-DISCO - 3</t>
  </si>
  <si>
    <t>STM32C0316-DK - 1</t>
  </si>
  <si>
    <t>STM32C0316-DK - 2</t>
  </si>
  <si>
    <t>STM32C0316-DK - 3</t>
  </si>
  <si>
    <t>STM32C0316-DK - 4</t>
  </si>
  <si>
    <t>STM32C0316-DK - 5</t>
  </si>
  <si>
    <t>STM32C0316-DK - 6</t>
  </si>
  <si>
    <t>STM32C0316-DK - 7</t>
  </si>
  <si>
    <t>STM32C0316-DK - 8</t>
  </si>
  <si>
    <t>STM32C0316-DK - 9</t>
  </si>
  <si>
    <t>STM32C0316-DK - 10</t>
  </si>
  <si>
    <t>STM32C0116-DK - 1</t>
  </si>
  <si>
    <t>STM32C0116-DK - 2</t>
  </si>
  <si>
    <t>STM32C0116-DK - 3</t>
  </si>
  <si>
    <t>STM32C0116-DK - 4</t>
  </si>
  <si>
    <t>STM32C0116-DK - 5</t>
  </si>
  <si>
    <t>STM32C0116-DK - 6</t>
  </si>
  <si>
    <t>STM32C0116-DK - 7</t>
  </si>
  <si>
    <t>STM32C0116-DK - 8</t>
  </si>
  <si>
    <t>STM32C0116-DK - 9</t>
  </si>
  <si>
    <t>STM32C0116-DK - 10</t>
  </si>
  <si>
    <t>B-WL5M-SUBG1 (CZ1) - 1</t>
  </si>
  <si>
    <t>B-WL5M-SUBG1 (CZ1) - 2</t>
  </si>
  <si>
    <t>B-WL5M-SUBG1 (CZ1) - 3</t>
  </si>
  <si>
    <t>B-WL5M-SUBG1 (CZ1) - 4</t>
  </si>
  <si>
    <t>B-WBA5M-WPAN (CZ2) - 1</t>
  </si>
  <si>
    <t>B-WBA5M-WPAN (CZ2) - 2</t>
  </si>
  <si>
    <t>B-WBA5M-WPAN (CZ2) - 3</t>
  </si>
  <si>
    <t>B-WBA5M-WPAN (CZ2) - 4</t>
  </si>
  <si>
    <t>B-WB1M-WPAN1 (MZ2) - 1</t>
  </si>
  <si>
    <t>B-WB1M-WPAN1 (MZ2) - 2</t>
  </si>
  <si>
    <t>B-WB1M-WPAN1 (MZ2) - 3</t>
  </si>
  <si>
    <t>B-WB1M-WPAN1 (MZ2) - 4</t>
  </si>
  <si>
    <t>B-WB1M-WPAN1 (MZ2) - 5</t>
  </si>
  <si>
    <t>B-WB1M-WPAN1 (MZ2) - 6</t>
  </si>
  <si>
    <t>B-U585I-IOT02A (GT5) - 1</t>
  </si>
  <si>
    <t>B-U585I-IOT02A (GT2) - 1</t>
  </si>
  <si>
    <t>B-U585I-IOT02A (GT2) - 2</t>
  </si>
  <si>
    <t>B-U585I-IOT02A (GT2) - 3</t>
  </si>
  <si>
    <t>B-U585I-IOT02A (GT2) - 4</t>
  </si>
  <si>
    <t>B-U585I-IOT02A (GT2) - 5</t>
  </si>
  <si>
    <t>B-U585I-IOT02A (GT2) - 6</t>
  </si>
  <si>
    <t>B-U585I-IOT02A (GT2) - 7</t>
  </si>
  <si>
    <t>B-U585I-IOT02A (GT2) - 8</t>
  </si>
  <si>
    <t>B-U585I-IOT02A (GT2) - 9</t>
  </si>
  <si>
    <t>B-U585I-IOT02A (GT2) - 10</t>
  </si>
  <si>
    <t>B-U585I-IOT02A (GT2) - 11</t>
  </si>
  <si>
    <t>B-U585I-IOT02A (GT2) - 12</t>
  </si>
  <si>
    <t>B-U585I-IOT02A (GT2) - 13</t>
  </si>
  <si>
    <t>B-U585I-IOT02A (GT2) - 14</t>
  </si>
  <si>
    <t>B-U585I-IOT02A (GT2) - 15</t>
  </si>
  <si>
    <t>B-L4S5I-IOT01A - 1</t>
  </si>
  <si>
    <t>B-L4S5I-IOT01A - 2</t>
  </si>
  <si>
    <t>B-L4S5I-IOT01A - 3</t>
  </si>
  <si>
    <t>B-L4S5I-IOT01A - 4</t>
  </si>
  <si>
    <t>B-L4S5I-IOT01A - 5</t>
  </si>
  <si>
    <t>B-L4S5I-IOT01A - 6</t>
  </si>
  <si>
    <t>B-L4S5I-IOT01A - 7</t>
  </si>
  <si>
    <t>B-L4S5I-IOT01A - 8</t>
  </si>
  <si>
    <t>B-L4S5I-IOT01A - 9</t>
  </si>
  <si>
    <t>B-L475E-IOT01A2 - 1</t>
  </si>
  <si>
    <t>B-L475E-IOT01A2 - 2</t>
  </si>
  <si>
    <t>B-L475E-IOT01A2 - 3</t>
  </si>
  <si>
    <t>B-L475E-IOT01A2 - 4</t>
  </si>
  <si>
    <t>B-L475E-IOT01A1 - 1</t>
  </si>
  <si>
    <t>B-L475E-IOT01A1 - 2</t>
  </si>
  <si>
    <t>B-L475E-IOT01A1 - 3</t>
  </si>
  <si>
    <t>B-L475E-IOT01A1 - 4</t>
  </si>
  <si>
    <t>B-L475E-IOT01A1 - 5</t>
  </si>
  <si>
    <t>B-L475E-IOT01A1 - 6</t>
  </si>
  <si>
    <t>B-L475E-IOT01A1 - 7</t>
  </si>
  <si>
    <t>B-L475E-IOT01A1 - 8</t>
  </si>
  <si>
    <t>B-L475E-IOT01A1 - 9</t>
  </si>
  <si>
    <t>B-L475E-IOT01A1 - 10</t>
  </si>
  <si>
    <t>B-L475E-IOT01A1 - 11</t>
  </si>
  <si>
    <t>B-L475E-IOT01A1 - 12</t>
  </si>
  <si>
    <t>B-L475E-IOT01A1 - 13</t>
  </si>
  <si>
    <t>B-L475E-IOT01A1 - 14</t>
  </si>
  <si>
    <t>B-L462E-CELL1 - 1</t>
  </si>
  <si>
    <t>B-L462E-CELL1 - 2</t>
  </si>
  <si>
    <t>B-L462E-CELL1 - 3</t>
  </si>
  <si>
    <t>B-L462E-CELL1 - 4</t>
  </si>
  <si>
    <t>B-L462E-CELL1 - 5</t>
  </si>
  <si>
    <t>B-L462E-CELL1 - 6</t>
  </si>
  <si>
    <t>B-L072Z-LRWAN1 - 1</t>
  </si>
  <si>
    <t>B-L072Z-LRWAN1 - 2</t>
  </si>
  <si>
    <t>B-L072Z-LRWAN1 - 3</t>
  </si>
  <si>
    <t>B-L072Z-LRWAN1 - 4</t>
  </si>
  <si>
    <t>B-L072Z-LRWAN1 - 5</t>
  </si>
  <si>
    <t>B-L072Z-LRWAN1 - 6</t>
  </si>
  <si>
    <t>B-L072Z-LRWAN1 - 7</t>
  </si>
  <si>
    <t>B-L072Z-LRWAN1 - 8</t>
  </si>
  <si>
    <t>B-L072Z-LRWAN1 - 9</t>
  </si>
  <si>
    <t>B-L072Z-LRWAN1 - 10</t>
  </si>
  <si>
    <t>B-G474E-DPOW1 - 1</t>
  </si>
  <si>
    <t>B-G474E-DPOW1 - 2</t>
  </si>
  <si>
    <t>B-G474E-DPOW1 - 3</t>
  </si>
  <si>
    <t>B-G474E-DPOW1 - 4</t>
  </si>
  <si>
    <t>B-G474E-DPOW1 - 5</t>
  </si>
  <si>
    <t>B-G431B-ESC1 - 1</t>
  </si>
  <si>
    <t>B-G431B-ESC1 - 2</t>
  </si>
  <si>
    <t>B-G431B-ESC1 - 3</t>
  </si>
  <si>
    <t>B-G431B-ESC1 - 4</t>
  </si>
  <si>
    <t>B-STLINK-VOLT - 1</t>
  </si>
  <si>
    <t>B-STLINK-VOLT - 2</t>
  </si>
  <si>
    <t>B-STLINK-VOLT - 3</t>
  </si>
  <si>
    <t>B-STLINK-VOLT - 4</t>
  </si>
  <si>
    <t>B-STLINK-VOLT - 5</t>
  </si>
  <si>
    <t>STM32U575I-EV - 1</t>
  </si>
  <si>
    <t>STM32U575I-EV - 2</t>
  </si>
  <si>
    <t>STM32U575I-EV - 3</t>
  </si>
  <si>
    <t>STM32U575I-EV - 4</t>
  </si>
  <si>
    <t>STM32U575I-EV - 5</t>
  </si>
  <si>
    <t>STM32MP257F-EV1 (MR5) - 1</t>
  </si>
  <si>
    <t>STM32MP257F-EV1 (MR5) - 2</t>
  </si>
  <si>
    <t>STM32MP257F-EV1 (MR5) - 3</t>
  </si>
  <si>
    <t>STM32MP257F-EV1 (MR5) - 4</t>
  </si>
  <si>
    <t>STM32MP257F-EV1 (MR5) - 5</t>
  </si>
  <si>
    <t>STM32MP257F-EV1 (MR2) - 1</t>
  </si>
  <si>
    <t>STM32MP257F-EV1 (MR2) - 2</t>
  </si>
  <si>
    <t>STM32MP257F-EV1 (MR2) - 3</t>
  </si>
  <si>
    <t>STM32MP257F-EV1 (MR1) - 1</t>
  </si>
  <si>
    <t>STM32MP157F-EV1 - 1</t>
  </si>
  <si>
    <t>STM32MP157D-EV1 - 1</t>
  </si>
  <si>
    <t>STM32MP157C-EV1 - 1</t>
  </si>
  <si>
    <t>STM32MP157C-EV1 - 2</t>
  </si>
  <si>
    <t>STM32MP157C-EV1 - 3</t>
  </si>
  <si>
    <t>STM32MP157A-EV1 - 1</t>
  </si>
  <si>
    <t>STM32L552E-EV - 1</t>
  </si>
  <si>
    <t>STM32L552E-EV - 2</t>
  </si>
  <si>
    <t>STM32L552E-EV - 3</t>
  </si>
  <si>
    <t>STM32L4R9I-EVAL - 1</t>
  </si>
  <si>
    <t>STM32L4R9I-EVAL - 2</t>
  </si>
  <si>
    <t>STM32L476G-EVAL - 1</t>
  </si>
  <si>
    <t>STM32L476G-EVAL - 2</t>
  </si>
  <si>
    <t>STM32L476G-EVAL - 3</t>
  </si>
  <si>
    <t>STM32L152D-EVAL - 1</t>
  </si>
  <si>
    <t>STM32L152D-EVAL - 2</t>
  </si>
  <si>
    <t>STM32L073Z-EVAL - 1</t>
  </si>
  <si>
    <t>STM32L073Z-EVAL - 2</t>
  </si>
  <si>
    <t>STM32H7B3I-EVAL - 1</t>
  </si>
  <si>
    <t>STM32H7B3I-EVAL - 2</t>
  </si>
  <si>
    <t>STM32H7B3I-EVAL - 3</t>
  </si>
  <si>
    <t>STM32H757I-EVAL - 1</t>
  </si>
  <si>
    <t>STM32H757I-EVAL - 2</t>
  </si>
  <si>
    <t>STM32H757I-EVAL - 3</t>
  </si>
  <si>
    <t>STM32H753I-EVAL2 - 1</t>
  </si>
  <si>
    <t>STM32H753I-EVAL2 - 2</t>
  </si>
  <si>
    <t>STM32H753I-EVAL2 - 3</t>
  </si>
  <si>
    <t>STM32H753I-EVAL - 1</t>
  </si>
  <si>
    <t>STM32H753I-EVAL - 2</t>
  </si>
  <si>
    <t>STM32H753I-EVAL - 3</t>
  </si>
  <si>
    <t>STM32H753I-EVAL - 4</t>
  </si>
  <si>
    <t>STM32H753I-EVAL - 5</t>
  </si>
  <si>
    <t>STM32H753I-EVAL - 6</t>
  </si>
  <si>
    <t>STM32H747I-EVAL - 1</t>
  </si>
  <si>
    <t>STM32H743I-EVAL2 - 1</t>
  </si>
  <si>
    <t>STM32H743I-EVAL2 - 2</t>
  </si>
  <si>
    <t>STM32H743I-EVAL - 1</t>
  </si>
  <si>
    <t>STM32H743I-EVAL - 2</t>
  </si>
  <si>
    <t>STM32H743I-EVAL - 3</t>
  </si>
  <si>
    <t>STM32H743I-EVAL - 4</t>
  </si>
  <si>
    <t>STM32G484E-EVAL - 1</t>
  </si>
  <si>
    <t>STM32G484E-EVAL - 2</t>
  </si>
  <si>
    <t>STM32G474E-EVAL1 - 1</t>
  </si>
  <si>
    <t>STM32G474E-EVAL1 - 2</t>
  </si>
  <si>
    <t>STM32G474E-EVAL - 1</t>
  </si>
  <si>
    <t>STM32G0C1E-EV - 1</t>
  </si>
  <si>
    <t>STM32G0C1E-EV - 2</t>
  </si>
  <si>
    <t>STM32G081B-EVAL - 1</t>
  </si>
  <si>
    <t>STM32G081B-EVAL - 2</t>
  </si>
  <si>
    <t>STM32G081B-EVAL - 3</t>
  </si>
  <si>
    <t>STM32G081B-EVAL - 4</t>
  </si>
  <si>
    <t>STM32G081B-EVAL - 5</t>
  </si>
  <si>
    <t>STM32F779I-EVAL - 1</t>
  </si>
  <si>
    <t>STM32F769I-EVAL - 1</t>
  </si>
  <si>
    <t>STM32F769I-EVAL - 2</t>
  </si>
  <si>
    <t>STM32F769I-EVAL - 3</t>
  </si>
  <si>
    <t>STM32756G-EVAL2 - 1</t>
  </si>
  <si>
    <t>STM32756G-EVAL2 - 2</t>
  </si>
  <si>
    <t>STM32746G-EVAL2 - 1</t>
  </si>
  <si>
    <t>STM32746G-EVAL2 - 2</t>
  </si>
  <si>
    <t>STM32746G-EVAL2 - 3</t>
  </si>
  <si>
    <t>STM32746G-EVAL2 - 4</t>
  </si>
  <si>
    <t>STM32746G-EVAL2 - 5</t>
  </si>
  <si>
    <t>STM32479I-EVAL - 1</t>
  </si>
  <si>
    <t>STM32479I-EVAL - 2</t>
  </si>
  <si>
    <t>STM32479I-EVAL - 3</t>
  </si>
  <si>
    <t>STM32469I-EVAL - 1</t>
  </si>
  <si>
    <t>STM32469I-EVAL - 2</t>
  </si>
  <si>
    <t>STM32469I-EVAL - 3</t>
  </si>
  <si>
    <t>STM32469I-EVAL - 4</t>
  </si>
  <si>
    <t>STM32446E-EVAL - 1</t>
  </si>
  <si>
    <t>STM32439I-EVAL2 - 1</t>
  </si>
  <si>
    <t>STM32439I-EVAL2 - 2</t>
  </si>
  <si>
    <t>STM32439I-EVAL2 - 3</t>
  </si>
  <si>
    <t>STM32439I-EVAL2 - 4</t>
  </si>
  <si>
    <t>STM32437I-EVAL - 1</t>
  </si>
  <si>
    <t>STM32429I-EVAL1 - 1</t>
  </si>
  <si>
    <t>STM32429I-EVAL1 - 2</t>
  </si>
  <si>
    <t>STM32429I-EVAL1 - 3</t>
  </si>
  <si>
    <t>STM3241G-EVAL - 1</t>
  </si>
  <si>
    <t>STM3240G-EVAL - 1</t>
  </si>
  <si>
    <t>STM32373C-EVAL - 1</t>
  </si>
  <si>
    <t>STM32373C-EVAL - 2</t>
  </si>
  <si>
    <t>STM32303E-EVAL - 1</t>
  </si>
  <si>
    <t>STM32303C-EVAL - 1</t>
  </si>
  <si>
    <t>STM3221G-EVAL - 1</t>
  </si>
  <si>
    <t>STM3220G-EVAL - 1</t>
  </si>
  <si>
    <t>STM3210E-EVAL - 1</t>
  </si>
  <si>
    <t>STM3210E-EVAL - 2</t>
  </si>
  <si>
    <t>STM3210E-EVAL - 3</t>
  </si>
  <si>
    <t>STM3210C-EVAL - 1</t>
  </si>
  <si>
    <t>STM3210C-EVAL - 2</t>
  </si>
  <si>
    <t>STM3210C-EVAL - 3</t>
  </si>
  <si>
    <t>STM32091C-EVAL - 1</t>
  </si>
  <si>
    <t>STM32072B-EVAL - 1</t>
  </si>
  <si>
    <t>STM320518-EVAL - 1</t>
  </si>
  <si>
    <t>STEVAL-STWINKT1B - 1</t>
  </si>
  <si>
    <t>STEVAL-STWINKT1B - 2</t>
  </si>
  <si>
    <t>STEVAL-STWINKT1B - 3</t>
  </si>
  <si>
    <t>STEVAL-STWINKT1B - 4</t>
  </si>
  <si>
    <t>STEVAL-STWINKT1A - 1</t>
  </si>
  <si>
    <t>STEVAL-STWINKT1A - 2</t>
  </si>
  <si>
    <t>STEVAL-STWINKT1A - 3</t>
  </si>
  <si>
    <t>STEVAL-STWINBX1 - 1</t>
  </si>
  <si>
    <t>STEVAL-STWINBX1 - 2</t>
  </si>
  <si>
    <t>STEVAL-STWINBX1 - 3</t>
  </si>
  <si>
    <t>STEVAL-STWINBX1 - 4</t>
  </si>
  <si>
    <t>STEVAL-STLKT01V1 - 1</t>
  </si>
  <si>
    <t>STEVAL-SPIN3201 - 1</t>
  </si>
  <si>
    <t>STEVAL-SMARTAG2 - 1</t>
  </si>
  <si>
    <t>STEVAL-SMARTAG2 - 2</t>
  </si>
  <si>
    <t>STEVAL-SILPLC01 - 1</t>
  </si>
  <si>
    <t>STEVAL-SILPLC01 - 2</t>
  </si>
  <si>
    <t>STEVAL-PROTEUS1 - 1</t>
  </si>
  <si>
    <t>STEVAL-PROTEUS1 - 2</t>
  </si>
  <si>
    <t>STEVAL-PROTEUS1 - 3</t>
  </si>
  <si>
    <t>STEVAL-PROTEUS1 - 4</t>
  </si>
  <si>
    <t>STEVAL-PDETECT1 - 1</t>
  </si>
  <si>
    <t>STEVAL-PDETECT1 - 2</t>
  </si>
  <si>
    <t>STEVAL-MKSBOX1V1 - 1</t>
  </si>
  <si>
    <t>STEVAL-MKSBOX1V1 - 2</t>
  </si>
  <si>
    <t>STEVAL-MKSBOX1V1 - 3</t>
  </si>
  <si>
    <t>STEVAL-MKBOXPROA - 1</t>
  </si>
  <si>
    <t>STEVAL-MKBOXPROA - 2</t>
  </si>
  <si>
    <t>STEVAL-MKBOXPROA - 3</t>
  </si>
  <si>
    <t>STEVAL-MKBOXPROA - 4</t>
  </si>
  <si>
    <t>STEVAL-MKBOXPROA - 5</t>
  </si>
  <si>
    <t>STEVAL-MKBOXPROA - 6</t>
  </si>
  <si>
    <t>STEVAL-MKBOXPROA - 7</t>
  </si>
  <si>
    <t>STEVAL-MKI245KA - 1</t>
  </si>
  <si>
    <t>STEVAL-MKI245KA - 2</t>
  </si>
  <si>
    <t>STEVAL-MKI245KA - 3</t>
  </si>
  <si>
    <t>STEVAL-MKI245KA - 4</t>
  </si>
  <si>
    <t>STEVAL-MKI208V1K - 1</t>
  </si>
  <si>
    <t>STEVAL-MKI208V1K - 2</t>
  </si>
  <si>
    <t>STEVAL-MKI208V1K - 3</t>
  </si>
  <si>
    <t>STEVAL-MKI208V1K - 4</t>
  </si>
  <si>
    <t>STEVAL-MKI207V1 - 1</t>
  </si>
  <si>
    <t>STEVAL-MKI207V1 - 2</t>
  </si>
  <si>
    <t>STEVAL-MKI109V3 - 1</t>
  </si>
  <si>
    <t>STEVAL-MKI109V3 - 2</t>
  </si>
  <si>
    <t>STEVAL-MKI109V3 - 3</t>
  </si>
  <si>
    <t>STEVAL-MKI109V3 - 4</t>
  </si>
  <si>
    <t>STEVAL-MIC008A - 1</t>
  </si>
  <si>
    <t>STEVAL-MIC008A - 2</t>
  </si>
  <si>
    <t>STEVAL-MIC008A - 3</t>
  </si>
  <si>
    <t>STEVAL-MIC001 - 1</t>
  </si>
  <si>
    <t>STEVAL-MIC001 - 2</t>
  </si>
  <si>
    <t>STEVAL-MIC001 - 3</t>
  </si>
  <si>
    <t>STEVAL-MIC001 - 4</t>
  </si>
  <si>
    <t>STEVAL-LLL009V1 - 1</t>
  </si>
  <si>
    <t>STEVAL-LLL011V1 - 1</t>
  </si>
  <si>
    <t>STEVAL-LLL004V2 - 1</t>
  </si>
  <si>
    <t>STEVAL-IHM038V1 - 1</t>
  </si>
  <si>
    <t>STEVAL-IHM036V1 - 1</t>
  </si>
  <si>
    <t>STEVAL-FKI868V1 - 1</t>
  </si>
  <si>
    <t>STEVAL-FCU001V2 - 1</t>
  </si>
  <si>
    <t>STEVAL-CTM011V1 - 1</t>
  </si>
  <si>
    <t>STEVAL-CTM011V1 - 2</t>
  </si>
  <si>
    <t>STEVAL-CCA058V1 - 1</t>
  </si>
  <si>
    <t>STEVAL-CCA058V1 - 2</t>
  </si>
  <si>
    <t>STEVAL-CAM-M0I1 - 1</t>
  </si>
  <si>
    <t>STEVAL-CAM-M0I1 - 2</t>
  </si>
  <si>
    <t>STEVAL-CAM-M0I1 - 3</t>
  </si>
  <si>
    <t>STEVAL-BFA001V2B - 1</t>
  </si>
  <si>
    <t>STEVAL-BFA001V2B - 2</t>
  </si>
  <si>
    <t>STEVAL-BFA001V1B - 1</t>
  </si>
  <si>
    <t>STEVAL-BFA001V1B - 2</t>
  </si>
  <si>
    <t>STEVAL-BFA001V1B - 3</t>
  </si>
  <si>
    <t>STEVAL-BCNKT01V1 - 1</t>
  </si>
  <si>
    <t>STEVAL-BCN002V1B - 1</t>
  </si>
  <si>
    <t>STEVAL-ASTRA1B - 1</t>
  </si>
  <si>
    <t>STEVAL-ASTRA1B - 2</t>
  </si>
  <si>
    <t>STEVAL-ASTRA1B - 3</t>
  </si>
  <si>
    <t>STEVAL-ASTRA1B - 4</t>
  </si>
  <si>
    <t>STEVAL-66GYMAI1 - 1</t>
  </si>
  <si>
    <t>STEVAL-66GYMAI1 - 2</t>
  </si>
  <si>
    <t>STEVAL-56G3MAI1 - 1</t>
  </si>
  <si>
    <t>STEVAL-56G3MAI1 - 2</t>
  </si>
  <si>
    <t>STEVAL-55G1MBI1 - 1</t>
  </si>
  <si>
    <t>STEVAL-55G1MBI1 - 2</t>
  </si>
  <si>
    <t>STEVAL-55G0MBI1 - 1</t>
  </si>
  <si>
    <t>STEVAL-55G0MBI1 - 2</t>
  </si>
  <si>
    <t>STEVAL-2STPD01 - 1</t>
  </si>
  <si>
    <t>STEVAL-2STPD01 - 2</t>
  </si>
  <si>
    <t>STEVAL-USBPD27S - 1</t>
  </si>
  <si>
    <t>STEVAL-USBPD27S - 2</t>
  </si>
  <si>
    <t>STEVAL-USBPD27S - 3</t>
  </si>
  <si>
    <t>STEVAL-USBPD27S - 4</t>
  </si>
  <si>
    <t>STEVAL-XPLM01CPL - 1</t>
  </si>
  <si>
    <t>STEVAL-XPLM01CPL - 2</t>
  </si>
  <si>
    <t>NUCLEO/144T-WS - 1</t>
  </si>
  <si>
    <t>NUCLEO/144T-WS - 2</t>
  </si>
  <si>
    <t>NUCLEO/144T-WS - 3</t>
  </si>
  <si>
    <t>NUCLEO/64T-WS - 1</t>
  </si>
  <si>
    <t>NUCLEO/64T-WS - 2</t>
  </si>
  <si>
    <t>NUCLEO/64T-WS - 3</t>
  </si>
  <si>
    <t>NUCLEO/64T-WS - 4</t>
  </si>
  <si>
    <t>NUCLEO-MB1814-WS - 1</t>
  </si>
  <si>
    <t>NUCLEO-MB1814-WS - 2</t>
  </si>
  <si>
    <t>NUCLEO-MB1136-WS - 1</t>
  </si>
  <si>
    <t>NUCLEO-MB1136-WS - 2</t>
  </si>
  <si>
    <t>NUCLEO-MB1136-WS - 3</t>
  </si>
  <si>
    <t>NUCLEO-MB1136-WS - 4</t>
  </si>
  <si>
    <t>NUCLEO-MB1932-WS - 1</t>
  </si>
  <si>
    <t>NUCLEO-MB1932-WS - 2</t>
  </si>
  <si>
    <t>STM32N6570-SKT - 1</t>
  </si>
  <si>
    <t>STM32N657X0H3QU - 1</t>
  </si>
  <si>
    <t>STM32N657X0H3QU - 2</t>
  </si>
  <si>
    <t>STM32N657X0H3QU - 3</t>
  </si>
  <si>
    <t>STM32N657X0H3QU - 4</t>
  </si>
  <si>
    <t>STM32N657X0H3QU - 5</t>
  </si>
  <si>
    <t>STM32N657X0H3QU - 6</t>
  </si>
  <si>
    <t>STM32N657X0H3QU - 7</t>
  </si>
  <si>
    <t>STM32N657X0H3QU - 8</t>
  </si>
  <si>
    <t>STM32N657X0H3QU - 9</t>
  </si>
  <si>
    <t>STM32N657X0H3QU - 10</t>
  </si>
  <si>
    <t>STM32WLE5CCU6 - 1</t>
  </si>
  <si>
    <t>STM32WLE5CCU6 - 2</t>
  </si>
  <si>
    <t>STM32WLE5CCU6 - 3</t>
  </si>
  <si>
    <t>STM32WLE5CCU6 - 4</t>
  </si>
  <si>
    <t>STM32U083RCT6 - 1</t>
  </si>
  <si>
    <t>STM32U083RCT6 - 2</t>
  </si>
  <si>
    <t>STM32U083RCT6 - 3</t>
  </si>
  <si>
    <t>STM32U083RCT6 - 4</t>
  </si>
  <si>
    <t>STM32U083MCT6 - 1</t>
  </si>
  <si>
    <t>STM32U083MCT6 - 2</t>
  </si>
  <si>
    <t>STM32U083MCT6 - 3</t>
  </si>
  <si>
    <t>STM32U083MCT6 - 4</t>
  </si>
  <si>
    <t>STM32G071RBT6 - 1</t>
  </si>
  <si>
    <t>STM32G071RBT6 - 2</t>
  </si>
  <si>
    <t>STM32G070RBT6 - 1</t>
  </si>
  <si>
    <t>STM32G070RBT6 - 2</t>
  </si>
  <si>
    <t>STLink-V3MODS - 1</t>
  </si>
  <si>
    <t>STLink-V3MODS - 2</t>
  </si>
  <si>
    <t>STLink-V3MINI - 1</t>
  </si>
  <si>
    <t>STLink-V3MINI - 2</t>
  </si>
  <si>
    <t>STLink-V3MINI - 3</t>
  </si>
  <si>
    <t>STLink-V3MINI - 4</t>
  </si>
  <si>
    <t>STLink-V3MINI - 5</t>
  </si>
  <si>
    <t>STLink-V3MINI - 6</t>
  </si>
  <si>
    <t>STLink-V3MINI - 7</t>
  </si>
  <si>
    <t>STLink-V3MINI - 8</t>
  </si>
  <si>
    <t>STLink-V3MINI - 9</t>
  </si>
  <si>
    <t>STLink-V2 Isolated - 1</t>
  </si>
  <si>
    <t>STLink-V2 Isolated - 2</t>
  </si>
  <si>
    <t>B-STLINK-FDCAN - 1</t>
  </si>
  <si>
    <t>B-STLINK-FDCAN - 2</t>
  </si>
  <si>
    <t>B-STLINK-ISOL - 1</t>
  </si>
  <si>
    <t>B-STLINK-ISOL - 2</t>
  </si>
  <si>
    <t>B-STLINK-ISOL - 3</t>
  </si>
  <si>
    <t>B-STLINK-ISOL - 4</t>
  </si>
  <si>
    <t>B-STLINK-ISOL - 5</t>
  </si>
  <si>
    <t>B-STLINK-ISOL - 6</t>
  </si>
  <si>
    <t>STLink-V3SET - 1</t>
  </si>
  <si>
    <t>STLink-V3SET - 2</t>
  </si>
  <si>
    <t>STLink-V3SET - 3</t>
  </si>
  <si>
    <t>STLink-V3SET - 4</t>
  </si>
  <si>
    <t>STLink-V3SET - 5</t>
  </si>
  <si>
    <t>STLink-V3SET - 6</t>
  </si>
  <si>
    <t>STLink-V3SET - 7</t>
  </si>
  <si>
    <t>STLink-V3SET - 8</t>
  </si>
  <si>
    <t>STLink-V3SET - 9</t>
  </si>
  <si>
    <t>STLinkV3 PWR - 1</t>
  </si>
  <si>
    <t>STLinkV3 PWR - 2</t>
  </si>
  <si>
    <t>STLinkV3 PWR - 3</t>
  </si>
  <si>
    <t>STLinkV3 PWR - 4</t>
  </si>
  <si>
    <t>STLinkV3 PWR - 5</t>
  </si>
  <si>
    <t>STLinkV3 PWR - 6</t>
  </si>
  <si>
    <t>STLinkV3 PWR - 7</t>
  </si>
  <si>
    <t>STLinkV3 PWR - 8</t>
  </si>
  <si>
    <t>STLinkV3 PWR - 9</t>
  </si>
  <si>
    <t>STLinkV3 PWR - 10</t>
  </si>
  <si>
    <t>STLinkV3 PWR - 11</t>
  </si>
  <si>
    <t>Debug Probe - 1</t>
  </si>
  <si>
    <t>Debug Probe - 2</t>
  </si>
  <si>
    <t>Segger Ultra+ (all cores) - 1</t>
  </si>
  <si>
    <t>Segger Ultra+ (all cores) - 2</t>
  </si>
  <si>
    <t>Fluke (Yellow) - 1</t>
  </si>
  <si>
    <t>Fluke (Yellow) - 2</t>
  </si>
  <si>
    <t>Voltcraft - 1</t>
  </si>
  <si>
    <t>Beagle M480 - 1</t>
  </si>
  <si>
    <t>No Name (MP1 Workshop) - 1</t>
  </si>
  <si>
    <t>No Name (MP1 Workshop) - 2</t>
  </si>
  <si>
    <t>No Name (MP1 Workshop) - 3</t>
  </si>
  <si>
    <t>No Name (MP1 Workshop) - 4</t>
  </si>
  <si>
    <t>No Name (MP1 Workshop) - 5</t>
  </si>
  <si>
    <t>No Name (MP1 Workshop) - 6</t>
  </si>
  <si>
    <t>No Name (MP1 Workshop) - 7</t>
  </si>
  <si>
    <t>No Name (MP1 Workshop) - 8</t>
  </si>
  <si>
    <t>No Name (MP1 Workshop) - 9</t>
  </si>
  <si>
    <t>No Name (MP1 Workshop) - 10</t>
  </si>
  <si>
    <t>No Name (MP1 Workshop) - 11</t>
  </si>
  <si>
    <t>No Name (MP1 Workshop) - 12</t>
  </si>
  <si>
    <t>No Name (MP1 Workshop) - 13</t>
  </si>
  <si>
    <t>No Name (MP1 Workshop) - 14</t>
  </si>
  <si>
    <t>No Name (MP1 Workshop) - 15</t>
  </si>
  <si>
    <t>Small yellow ELC 15V - 1</t>
  </si>
  <si>
    <t>Small yellow ELC 15V - 2</t>
  </si>
  <si>
    <t>Sefram 30volts - 1</t>
  </si>
  <si>
    <t>Sefram 30volts - 2</t>
  </si>
  <si>
    <t>Saleae - 1</t>
  </si>
  <si>
    <t>Saleae - 2</t>
  </si>
  <si>
    <t>Saleae - 3</t>
  </si>
  <si>
    <t>Picoscope - 1</t>
  </si>
  <si>
    <t>Picoscope - 2</t>
  </si>
  <si>
    <t>Individual furnitures</t>
  </si>
  <si>
    <t>USERs</t>
  </si>
  <si>
    <t>Feriel BOUDJATIT</t>
  </si>
  <si>
    <t>7603AB8E</t>
  </si>
  <si>
    <t>Antoine PRADOUX</t>
  </si>
  <si>
    <t>E0020801E9816744</t>
  </si>
  <si>
    <t>E0020800096E32C7</t>
  </si>
  <si>
    <t/>
  </si>
  <si>
    <t>NUCLEO-F042K6</t>
  </si>
  <si>
    <t>NUCLEO-F303K8</t>
  </si>
  <si>
    <t>NUCLEO-L011K4</t>
  </si>
  <si>
    <t>NUCLEO-L031K6</t>
  </si>
  <si>
    <t>NUCLEO-F070RB</t>
  </si>
  <si>
    <t>NUCLEO-F302R8</t>
  </si>
  <si>
    <t>NUCLEO-F303RE</t>
  </si>
  <si>
    <t>NUCLEO-L053R8</t>
  </si>
  <si>
    <t>NUCLEO-F207ZG</t>
  </si>
  <si>
    <t>NUCLEO-F303ZE</t>
  </si>
  <si>
    <t>NUCLEO-F429ZI</t>
  </si>
  <si>
    <t>NUCLEO-F746ZG</t>
  </si>
  <si>
    <t>N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</si>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</sst>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rgb="FF252525"/>
      <name val="Arial"/>
      <family val="2"/>
    </font>
    <font>
      <b/>
      <sz val="10"/>
      <color rgb="FF000000"/>
      <name val="Arial"/>
      <family val="2"/>
    </font>
    <font>
      <sz val="10"/>
      <color theme="1"/>
      <name val="Calibri"/>
      <family val="2"/>
      <scheme val="minor"/>
    </font>
    <font>
      <sz val="10"/>
      <color rgb="FF663366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663366"/>
      <name val="Arial"/>
      <family val="2"/>
    </font>
    <font>
      <b/>
      <sz val="8"/>
      <color rgb="FF000000"/>
      <name val="Arial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scheme val="minor"/>
    </font>
    <font>
      <b/>
      <sz val="10"/>
      <color rgb="FF663366"/>
      <name val="Arial"/>
      <family val="2"/>
    </font>
    <font>
      <sz val="14"/>
      <color theme="1"/>
      <name val="Calibri"/>
      <family val="2"/>
      <scheme val="minor"/>
    </font>
    <font>
      <b/>
      <i/>
      <sz val="11"/>
      <color rgb="FFED7D31"/>
      <name val="Calibri"/>
      <family val="2"/>
      <scheme val="minor"/>
    </font>
    <font>
      <sz val="8"/>
      <color rgb="FF663366"/>
      <name val="Arial"/>
    </font>
    <font>
      <sz val="10"/>
      <color rgb="FF663366"/>
      <name val="Arial"/>
    </font>
    <font>
      <b/>
      <sz val="10"/>
      <color rgb="FF663366"/>
      <name val="Arial"/>
    </font>
    <font>
      <sz val="14"/>
      <color rgb="FF444444"/>
      <name val="Calibri"/>
      <charset val="1"/>
    </font>
    <font>
      <b/>
      <i/>
      <sz val="14"/>
      <color theme="1"/>
      <name val="Calibri"/>
      <family val="2"/>
      <scheme val="minor"/>
    </font>
    <font>
      <strike/>
      <sz val="10"/>
      <color rgb="FF66336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dashed">
        <color rgb="FF000000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4" borderId="0" xfId="0" applyFill="1"/>
    <xf numFmtId="0" fontId="4" fillId="0" borderId="1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0" fillId="5" borderId="0" xfId="0" applyFill="1"/>
    <xf numFmtId="0" fontId="14" fillId="5" borderId="0" xfId="0" applyFont="1" applyFill="1" applyAlignment="1">
      <alignment horizontal="right"/>
    </xf>
    <xf numFmtId="0" fontId="0" fillId="5" borderId="0" xfId="0" applyFill="1" applyAlignment="1">
      <alignment horizontal="center"/>
    </xf>
    <xf numFmtId="0" fontId="0" fillId="0" borderId="7" xfId="0" applyBorder="1" applyAlignment="1">
      <alignment horizontal="center"/>
    </xf>
    <xf numFmtId="0" fontId="18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14" fillId="5" borderId="0" xfId="0" applyFont="1" applyFill="1" applyAlignment="1">
      <alignment horizontal="center"/>
    </xf>
    <xf numFmtId="0" fontId="21" fillId="0" borderId="0" xfId="0" applyFont="1" applyAlignment="1">
      <alignment horizontal="center"/>
    </xf>
    <xf numFmtId="0" fontId="4" fillId="5" borderId="1" xfId="0" applyFont="1" applyFill="1" applyBorder="1" applyAlignment="1">
      <alignment horizontal="center" vertical="center" wrapText="1"/>
    </xf>
    <xf numFmtId="0" fontId="19" fillId="5" borderId="1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right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13" fillId="6" borderId="0" xfId="0" applyFont="1" applyFill="1" applyAlignment="1">
      <alignment horizontal="center" vertical="center" wrapText="1"/>
    </xf>
    <xf numFmtId="0" fontId="17" fillId="6" borderId="7" xfId="0" applyFont="1" applyFill="1" applyBorder="1" applyAlignment="1">
      <alignment horizontal="center" vertical="center" wrapText="1"/>
    </xf>
    <xf numFmtId="0" fontId="17" fillId="6" borderId="0" xfId="0" applyFont="1" applyFill="1" applyAlignment="1">
      <alignment horizontal="center" vertical="center" wrapText="1"/>
    </xf>
    <xf numFmtId="0" fontId="0" fillId="6" borderId="0" xfId="0" applyFill="1"/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 wrapText="1"/>
    </xf>
    <xf numFmtId="0" fontId="0" fillId="7" borderId="11" xfId="0" applyFill="1" applyBorder="1"/>
    <xf numFmtId="0" fontId="0" fillId="0" borderId="11" xfId="0" applyBorder="1"/>
    <xf numFmtId="0" fontId="0" fillId="8" borderId="9" xfId="0" applyFill="1" applyBorder="1"/>
    <xf numFmtId="0" fontId="5" fillId="8" borderId="9" xfId="0" applyFont="1" applyFill="1" applyBorder="1" applyAlignment="1">
      <alignment vertical="center"/>
    </xf>
    <xf numFmtId="0" fontId="0" fillId="8" borderId="8" xfId="0" applyFill="1" applyBorder="1"/>
    <xf numFmtId="0" fontId="5" fillId="8" borderId="10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16" fillId="0" borderId="0" xfId="0" applyFont="1" applyAlignment="1">
      <alignment horizontal="center"/>
    </xf>
  </cellXfs>
  <cellStyles count="1">
    <cellStyle name="Normal" xfId="0" builtinId="0"/>
  </cellStyles>
  <dxfs count="36"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663366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663366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rgb="FF663366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rgb="FF663366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EBE2F2"/>
      <color rgb="FFE1CDFF"/>
      <color rgb="FFF7DDFF"/>
      <color rgb="FFFFE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lan PORTE" id="{C7A301E1-6222-402C-8661-568692FA7F73}" userId="S::alan.porte@st.com::8dd92ec9-c42a-4613-bc4e-d4d85d3380a0" providerId="AD"/>
  <person displayName="Nicolas SANTINI" id="{A73AA270-8F3D-4D4D-B0AA-CB7739E221AD}" userId="S::nicolas.santini@st.com::a86d4e1b-ed54-4c48-9ea5-458d67ab1ab2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0EF410F-22AB-46C0-911F-219C1BBD582F}" autoFormatId="16" applyNumberFormats="0" applyBorderFormats="0" applyFontFormats="0" applyPatternFormats="0" applyAlignmentFormats="0" applyWidthHeightFormats="0">
  <queryTableRefresh nextId="8">
    <queryTableFields count="7">
      <queryTableField id="1" name="Type" tableColumnId="1"/>
      <queryTableField id="2" name="Name" tableColumnId="2"/>
      <queryTableField id="3" name="Stock" tableColumnId="3"/>
      <queryTableField id="4" name="Individual furnitures" tableColumnId="4"/>
      <queryTableField id="5" name="ID" tableColumnId="5"/>
      <queryTableField id="6" name="On-site (Y/N)" tableColumnId="6"/>
      <queryTableField id="7" name="User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431B9FA-78F2-4590-AFA5-297498FACE4C}" autoFormatId="16" applyNumberFormats="0" applyBorderFormats="0" applyFontFormats="0" applyPatternFormats="0" applyAlignmentFormats="0" applyWidthHeightFormats="0">
  <queryTableRefresh nextId="8">
    <queryTableFields count="7">
      <queryTableField id="1" name="Family" tableColumnId="1"/>
      <queryTableField id="2" name="Boards" tableColumnId="2"/>
      <queryTableField id="3" name="Stock" tableColumnId="3"/>
      <queryTableField id="4" name="Individual boards" tableColumnId="4"/>
      <queryTableField id="5" name="ID" tableColumnId="5"/>
      <queryTableField id="6" name="On-site (Y/N)" tableColumnId="6"/>
      <queryTableField id="7" name="User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CC4944B-ED87-4025-B4E1-F627152BC6AD}" autoFormatId="16" applyNumberFormats="0" applyBorderFormats="0" applyFontFormats="0" applyPatternFormats="0" applyAlignmentFormats="0" applyWidthHeightFormats="0">
  <queryTableRefresh nextId="8">
    <queryTableFields count="7">
      <queryTableField id="1" name="Family" tableColumnId="1"/>
      <queryTableField id="2" name="Boards" tableColumnId="2"/>
      <queryTableField id="3" name="Stock" tableColumnId="3"/>
      <queryTableField id="4" name="Individual boards" tableColumnId="4"/>
      <queryTableField id="5" name="ID" tableColumnId="5"/>
      <queryTableField id="6" name="On-site (Y/N)" tableColumnId="6"/>
      <queryTableField id="7" name="User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19DDDD0-6D5B-4FE4-A650-865B2662BC10}" name="Furnitures_Automated" displayName="Furnitures_Automated" ref="A1:G96" tableType="queryTable" totalsRowShown="0" headerRowDxfId="33" dataDxfId="31" headerRowBorderDxfId="32" tableBorderDxfId="30" totalsRowBorderDxfId="29">
  <autoFilter ref="A1:G96" xr:uid="{A19DDDD0-6D5B-4FE4-A650-865B2662BC10}"/>
  <tableColumns count="7">
    <tableColumn id="1" xr3:uid="{0DDD725A-E1DB-4FF8-BD35-862648C67BFD}" uniqueName="1" name="Type" queryTableFieldId="1" dataDxfId="6"/>
    <tableColumn id="2" xr3:uid="{DD4469A4-C5F1-4B25-BAE4-1D0D3C437635}" uniqueName="2" name="Name" queryTableFieldId="2" dataDxfId="5"/>
    <tableColumn id="3" xr3:uid="{1BA979C4-82F4-4F8F-A570-7A8B46B3C9F1}" uniqueName="3" name="Stock" queryTableFieldId="3" dataDxfId="4"/>
    <tableColumn id="4" xr3:uid="{26B3A060-F7D1-4567-BFEA-8437FAFD86FB}" uniqueName="4" name="Individual furnitures" queryTableFieldId="4" dataDxfId="3"/>
    <tableColumn id="5" xr3:uid="{55FA8557-A51B-43A5-B626-58F1B4C64DCE}" uniqueName="5" name="ID" queryTableFieldId="5" dataDxfId="2"/>
    <tableColumn id="6" xr3:uid="{B5C29118-A9C1-4CD4-8571-7A6C87713A35}" uniqueName="6" name="On-site (Y/N)" queryTableFieldId="6" dataDxfId="1"/>
    <tableColumn id="7" xr3:uid="{239D97A9-A4FB-4639-AF7F-36D901076232}" uniqueName="7" name="User" queryTableFieldId="7" dataDxfId="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1B4FB7-D31C-4EE6-A325-3DE54B96D089}" name="NUCLEO_Automated_1" displayName="NUCLEO_Automated_1" ref="A1:G1114" tableType="queryTable" totalsRowShown="0">
  <autoFilter ref="A1:G1114" xr:uid="{D41B4FB7-D31C-4EE6-A325-3DE54B96D089}"/>
  <tableColumns count="7">
    <tableColumn id="1" xr3:uid="{619E90B3-CB7E-45E5-BDAC-7BF1B5E678D2}" uniqueName="1" name="Family" queryTableFieldId="1" dataDxfId="20"/>
    <tableColumn id="2" xr3:uid="{CCDF8CCA-2209-4611-B672-2639F6AEE09E}" uniqueName="2" name="Boards" queryTableFieldId="2" dataDxfId="19"/>
    <tableColumn id="3" xr3:uid="{A2ED4EBF-FA76-44C4-A3DA-60E9F23F3726}" uniqueName="3" name="Stock" queryTableFieldId="3" dataDxfId="18"/>
    <tableColumn id="4" xr3:uid="{409E6562-E832-46CE-ACE9-4C5E913FF864}" uniqueName="4" name="Individual boards" queryTableFieldId="4" dataDxfId="17"/>
    <tableColumn id="5" xr3:uid="{5482B661-546C-40EC-9E8F-BC6A72C83A81}" uniqueName="5" name="ID" queryTableFieldId="5" dataDxfId="16"/>
    <tableColumn id="6" xr3:uid="{294FE071-39D8-4758-B70A-9FFD3388FFC1}" uniqueName="6" name="On-site (Y/N)" queryTableFieldId="6" dataDxfId="15"/>
    <tableColumn id="7" xr3:uid="{0394B8F8-10BB-44A9-9C31-C4B7D5BA096C}" uniqueName="7" name="User" queryTableFieldId="7" dataDxfId="1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EDCF3C-6F19-4DAC-940B-BAC27A431FD4}" name="DISCOVERY_EVAL_Automated_1" displayName="DISCOVERY_EVAL_Automated_1" ref="A1:G910" tableType="queryTable" totalsRowShown="0" headerRowDxfId="24">
  <autoFilter ref="A1:G910" xr:uid="{34EDCF3C-6F19-4DAC-940B-BAC27A431FD4}"/>
  <tableColumns count="7">
    <tableColumn id="1" xr3:uid="{BCBCCC68-3080-4E5F-BC8D-189C68F8AF5B}" uniqueName="1" name="Family" queryTableFieldId="1" dataDxfId="13"/>
    <tableColumn id="2" xr3:uid="{E69D48B3-138F-4A95-A0C0-7AC543E4324E}" uniqueName="2" name="Boards" queryTableFieldId="2" dataDxfId="12"/>
    <tableColumn id="3" xr3:uid="{7449F8EB-0EDF-4C47-A6C4-E7B9F749642D}" uniqueName="3" name="Stock" queryTableFieldId="3" dataDxfId="11"/>
    <tableColumn id="4" xr3:uid="{11BAF364-8DDB-4B6B-8830-24975356191B}" uniqueName="4" name="Individual boards" queryTableFieldId="4" dataDxfId="10"/>
    <tableColumn id="5" xr3:uid="{738D4B06-FC16-403F-BB1D-5B4FDA4A0EEA}" uniqueName="5" name="ID" queryTableFieldId="5" dataDxfId="9"/>
    <tableColumn id="6" xr3:uid="{35B3AD18-60B0-4F8B-BFFD-179C1DC71E14}" uniqueName="6" name="On-site (Y/N)" queryTableFieldId="6" dataDxfId="8"/>
    <tableColumn id="7" xr3:uid="{32FCC903-0D39-4AD4-A02A-420A27A80C77}" uniqueName="7" name="User" queryTableFieldId="7" dataDxfId="7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51" dT="2021-01-06T10:28:29.56" personId="{A73AA270-8F3D-4D4D-B0AA-CB7739E221AD}" id="{D72755A9-926B-426F-8067-750911E58287}">
    <text>includes:
STM32WB55RG (Nucleo68) STM32WB55CG (USB dongle)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Z377" dT="2023-12-13T15:49:15.77" personId="{C7A301E1-6222-402C-8661-568692FA7F73}" id="{87071CCE-FA0B-4674-9F33-DDFC116FDC85}">
    <text>13/12/2023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7A71C-5174-480E-8C72-3E9E4A66635C}">
  <sheetPr codeName="Sheet1"/>
  <dimension ref="A1:E19"/>
  <sheetViews>
    <sheetView workbookViewId="0">
      <selection activeCell="J10" sqref="J10"/>
    </sheetView>
  </sheetViews>
  <sheetFormatPr defaultRowHeight="14.5" x14ac:dyDescent="0.35"/>
  <cols>
    <col min="1" max="1" width="36.1796875" customWidth="1"/>
    <col min="2" max="2" width="23.81640625" bestFit="1" customWidth="1"/>
    <col min="3" max="3" width="7.08984375" customWidth="1"/>
    <col min="4" max="4" width="30.08984375" customWidth="1"/>
    <col min="5" max="5" width="7.7265625" bestFit="1" customWidth="1"/>
  </cols>
  <sheetData>
    <row r="1" spans="1:5" ht="15.5" x14ac:dyDescent="0.35">
      <c r="A1" s="17" t="s">
        <v>0</v>
      </c>
      <c r="B1" s="17" t="s">
        <v>1</v>
      </c>
      <c r="C1" s="19" t="s">
        <v>2</v>
      </c>
      <c r="D1" s="20" t="s">
        <v>3</v>
      </c>
      <c r="E1" s="19" t="s">
        <v>4</v>
      </c>
    </row>
    <row r="2" spans="1:5" x14ac:dyDescent="0.35">
      <c r="A2" s="8" t="s">
        <v>5</v>
      </c>
      <c r="B2" s="8" t="s">
        <v>6</v>
      </c>
      <c r="C2" s="15"/>
      <c r="D2" s="8">
        <v>2</v>
      </c>
      <c r="E2" s="23">
        <f>D2-VLOOKUP(B2,Roaming!C:E,3,FALSE)</f>
        <v>2</v>
      </c>
    </row>
    <row r="3" spans="1:5" x14ac:dyDescent="0.35">
      <c r="A3" s="8" t="s">
        <v>5</v>
      </c>
      <c r="B3" s="8" t="s">
        <v>7</v>
      </c>
      <c r="C3" s="15"/>
      <c r="D3" s="8">
        <v>3</v>
      </c>
      <c r="E3" s="23">
        <f>D3-VLOOKUP(B3,Roaming!C:E,3,FALSE)</f>
        <v>3</v>
      </c>
    </row>
    <row r="4" spans="1:5" x14ac:dyDescent="0.35">
      <c r="A4" s="8" t="s">
        <v>8</v>
      </c>
      <c r="B4" s="8" t="s">
        <v>9</v>
      </c>
      <c r="C4" s="15"/>
      <c r="D4" s="8">
        <v>2</v>
      </c>
      <c r="E4" s="23">
        <f>D4-VLOOKUP(B4,Roaming!C:E,3,FALSE)</f>
        <v>2</v>
      </c>
    </row>
    <row r="5" spans="1:5" x14ac:dyDescent="0.35">
      <c r="A5" s="8" t="s">
        <v>8</v>
      </c>
      <c r="B5" s="8" t="s">
        <v>10</v>
      </c>
      <c r="C5" s="15"/>
      <c r="D5" s="8">
        <v>2</v>
      </c>
      <c r="E5" s="23">
        <f>D5-VLOOKUP(B5,Roaming!C:E,3,FALSE)</f>
        <v>2</v>
      </c>
    </row>
    <row r="6" spans="1:5" x14ac:dyDescent="0.35">
      <c r="A6" s="8" t="s">
        <v>11</v>
      </c>
      <c r="B6" s="8" t="s">
        <v>12</v>
      </c>
      <c r="C6" s="15"/>
      <c r="D6" s="8">
        <v>15</v>
      </c>
      <c r="E6" s="23">
        <f>D6-VLOOKUP(B6,Roaming!C:E,3,FALSE)</f>
        <v>15</v>
      </c>
    </row>
    <row r="7" spans="1:5" x14ac:dyDescent="0.35">
      <c r="A7" s="8" t="s">
        <v>13</v>
      </c>
      <c r="B7" s="8" t="s">
        <v>14</v>
      </c>
      <c r="C7" s="15"/>
      <c r="D7" s="8">
        <v>1</v>
      </c>
      <c r="E7" s="23">
        <f>D7-VLOOKUP(B7,Roaming!C:E,3,FALSE)</f>
        <v>1</v>
      </c>
    </row>
    <row r="8" spans="1:5" x14ac:dyDescent="0.35">
      <c r="A8" s="8" t="s">
        <v>11</v>
      </c>
      <c r="B8" s="8" t="s">
        <v>15</v>
      </c>
      <c r="C8" s="15"/>
      <c r="D8" s="8">
        <v>1</v>
      </c>
      <c r="E8" s="23">
        <f>D8-VLOOKUP(B8,Roaming!C:E,3,FALSE)</f>
        <v>1</v>
      </c>
    </row>
    <row r="9" spans="1:5" x14ac:dyDescent="0.35">
      <c r="A9" s="8" t="s">
        <v>11</v>
      </c>
      <c r="B9" s="8" t="s">
        <v>16</v>
      </c>
      <c r="C9" s="15"/>
      <c r="D9" s="8">
        <v>2</v>
      </c>
      <c r="E9" s="23">
        <f>D9-VLOOKUP(B9,Roaming!C:E,3,FALSE)</f>
        <v>2</v>
      </c>
    </row>
    <row r="10" spans="1:5" x14ac:dyDescent="0.35">
      <c r="A10" s="8" t="s">
        <v>17</v>
      </c>
      <c r="B10" s="8" t="s">
        <v>18</v>
      </c>
      <c r="C10" s="15"/>
      <c r="D10" s="8">
        <v>2</v>
      </c>
      <c r="E10" s="23">
        <f>D10-VLOOKUP(B10,Roaming!C:E,3,FALSE)</f>
        <v>2</v>
      </c>
    </row>
    <row r="11" spans="1:5" x14ac:dyDescent="0.35">
      <c r="A11" s="8" t="s">
        <v>19</v>
      </c>
      <c r="B11" s="8" t="s">
        <v>20</v>
      </c>
      <c r="C11" s="15"/>
      <c r="D11" s="8">
        <v>2</v>
      </c>
      <c r="E11" s="23">
        <f>D11-VLOOKUP(B11,Roaming!C:E,3,FALSE)</f>
        <v>1</v>
      </c>
    </row>
    <row r="12" spans="1:5" x14ac:dyDescent="0.35">
      <c r="A12" s="8" t="s">
        <v>21</v>
      </c>
      <c r="B12" s="8" t="s">
        <v>21</v>
      </c>
      <c r="C12" s="15"/>
      <c r="D12" s="8">
        <v>11</v>
      </c>
      <c r="E12" s="23">
        <f>D12-VLOOKUP(B12,Roaming!C:E,3,FALSE)</f>
        <v>9</v>
      </c>
    </row>
    <row r="13" spans="1:5" x14ac:dyDescent="0.35">
      <c r="A13" s="8" t="s">
        <v>22</v>
      </c>
      <c r="B13" s="8" t="s">
        <v>22</v>
      </c>
      <c r="C13" s="15"/>
      <c r="D13" s="8">
        <v>9</v>
      </c>
      <c r="E13" s="23">
        <f>D13-VLOOKUP(B13,Roaming!C:E,3,FALSE)</f>
        <v>7</v>
      </c>
    </row>
    <row r="14" spans="1:5" x14ac:dyDescent="0.35">
      <c r="A14" s="8" t="s">
        <v>23</v>
      </c>
      <c r="B14" s="8" t="s">
        <v>24</v>
      </c>
      <c r="C14" s="15"/>
      <c r="D14" s="8">
        <v>4</v>
      </c>
      <c r="E14" s="23">
        <f>D14-VLOOKUP(B14,Roaming!C:E,3,FALSE)</f>
        <v>4</v>
      </c>
    </row>
    <row r="15" spans="1:5" x14ac:dyDescent="0.35">
      <c r="A15" s="8" t="s">
        <v>25</v>
      </c>
      <c r="B15" s="8" t="s">
        <v>26</v>
      </c>
      <c r="C15" s="15"/>
      <c r="D15" s="8">
        <v>6</v>
      </c>
      <c r="E15" s="23">
        <f>D15-VLOOKUP(B15,Roaming!C:E,3,FALSE)</f>
        <v>6</v>
      </c>
    </row>
    <row r="16" spans="1:5" x14ac:dyDescent="0.35">
      <c r="A16" s="8" t="s">
        <v>27</v>
      </c>
      <c r="B16" s="8" t="s">
        <v>28</v>
      </c>
      <c r="C16" s="15"/>
      <c r="D16" s="8">
        <v>2</v>
      </c>
      <c r="E16" s="23"/>
    </row>
    <row r="17" spans="1:5" x14ac:dyDescent="0.35">
      <c r="A17" s="8" t="s">
        <v>29</v>
      </c>
      <c r="B17" s="8" t="s">
        <v>30</v>
      </c>
      <c r="C17" s="15"/>
      <c r="D17" s="8">
        <v>2</v>
      </c>
      <c r="E17" s="23">
        <f>D17-VLOOKUP(B17,Roaming!C:E,3,FALSE)</f>
        <v>2</v>
      </c>
    </row>
    <row r="18" spans="1:5" x14ac:dyDescent="0.35">
      <c r="A18" s="8" t="s">
        <v>31</v>
      </c>
      <c r="B18" s="8" t="s">
        <v>32</v>
      </c>
      <c r="C18" s="15"/>
      <c r="D18" s="8">
        <v>9</v>
      </c>
      <c r="E18" s="23">
        <f>D18-VLOOKUP(B18,Roaming!C:E,3,FALSE)</f>
        <v>7</v>
      </c>
    </row>
    <row r="19" spans="1:5" x14ac:dyDescent="0.35">
      <c r="A19" s="8" t="s">
        <v>33</v>
      </c>
      <c r="B19" s="8" t="s">
        <v>33</v>
      </c>
      <c r="C19" s="15"/>
      <c r="D19" s="8">
        <v>2</v>
      </c>
      <c r="E19" s="23">
        <f>D19-VLOOKUP(B19,Roaming!C:E,3,FALSE)</f>
        <v>2</v>
      </c>
    </row>
  </sheetData>
  <conditionalFormatting sqref="E1:E19">
    <cfRule type="cellIs" dxfId="35" priority="2" operator="equal">
      <formula>1</formula>
    </cfRule>
  </conditionalFormatting>
  <conditionalFormatting sqref="E2:E19">
    <cfRule type="cellIs" dxfId="34" priority="1" operator="less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3481-5BF4-4B7B-B887-67E8B9E989D9}">
  <sheetPr codeName="Sheet15"/>
  <dimension ref="A1:G96"/>
  <sheetViews>
    <sheetView workbookViewId="0">
      <selection sqref="A1:G96"/>
    </sheetView>
  </sheetViews>
  <sheetFormatPr defaultRowHeight="14.5" outlineLevelRow="1" x14ac:dyDescent="0.35"/>
  <cols>
    <col min="1" max="1" width="32.54296875" bestFit="1" customWidth="1"/>
    <col min="2" max="2" width="22.81640625" bestFit="1" customWidth="1"/>
    <col min="3" max="3" width="10.453125" bestFit="1" customWidth="1"/>
    <col min="4" max="4" width="26.6328125" bestFit="1" customWidth="1"/>
    <col min="5" max="5" width="7.54296875" bestFit="1" customWidth="1"/>
    <col min="6" max="6" width="17.6328125" bestFit="1" customWidth="1"/>
    <col min="7" max="7" width="9.7265625" bestFit="1" customWidth="1"/>
  </cols>
  <sheetData>
    <row r="1" spans="1:7" ht="15.5" x14ac:dyDescent="0.35">
      <c r="A1" s="51" t="s">
        <v>0</v>
      </c>
      <c r="B1" s="51" t="s">
        <v>1</v>
      </c>
      <c r="C1" s="51" t="s">
        <v>3</v>
      </c>
      <c r="D1" s="51" t="s">
        <v>2444</v>
      </c>
      <c r="E1" s="51" t="s">
        <v>811</v>
      </c>
      <c r="F1" s="51" t="s">
        <v>813</v>
      </c>
      <c r="G1" s="51" t="s">
        <v>812</v>
      </c>
    </row>
    <row r="2" spans="1:7" x14ac:dyDescent="0.35">
      <c r="A2" s="8" t="s">
        <v>5</v>
      </c>
      <c r="B2" s="8" t="s">
        <v>6</v>
      </c>
      <c r="C2" s="8">
        <v>2</v>
      </c>
      <c r="D2" s="8" t="s">
        <v>2451</v>
      </c>
      <c r="E2" s="8" t="s">
        <v>2451</v>
      </c>
      <c r="F2" s="8" t="s">
        <v>2451</v>
      </c>
      <c r="G2" s="8" t="s">
        <v>2451</v>
      </c>
    </row>
    <row r="3" spans="1:7" outlineLevel="1" x14ac:dyDescent="0.35">
      <c r="A3" s="8" t="s">
        <v>2451</v>
      </c>
      <c r="B3" s="8" t="s">
        <v>2451</v>
      </c>
      <c r="C3" s="8"/>
      <c r="D3" s="8" t="s">
        <v>2442</v>
      </c>
      <c r="E3" s="8" t="s">
        <v>2451</v>
      </c>
      <c r="F3" s="8" t="s">
        <v>2451</v>
      </c>
      <c r="G3" s="8" t="s">
        <v>2451</v>
      </c>
    </row>
    <row r="4" spans="1:7" outlineLevel="1" x14ac:dyDescent="0.35">
      <c r="A4" s="8" t="s">
        <v>2451</v>
      </c>
      <c r="B4" s="8" t="s">
        <v>2451</v>
      </c>
      <c r="C4" s="8"/>
      <c r="D4" s="8" t="s">
        <v>2443</v>
      </c>
      <c r="E4" s="8" t="s">
        <v>2451</v>
      </c>
      <c r="F4" s="8" t="s">
        <v>2451</v>
      </c>
      <c r="G4" s="8" t="s">
        <v>2451</v>
      </c>
    </row>
    <row r="5" spans="1:7" x14ac:dyDescent="0.35">
      <c r="A5" s="8" t="s">
        <v>5</v>
      </c>
      <c r="B5" s="8" t="s">
        <v>7</v>
      </c>
      <c r="C5" s="8">
        <v>3</v>
      </c>
      <c r="D5" s="8" t="s">
        <v>2451</v>
      </c>
      <c r="E5" s="8" t="s">
        <v>2451</v>
      </c>
      <c r="F5" s="8" t="s">
        <v>2451</v>
      </c>
      <c r="G5" s="8" t="s">
        <v>2451</v>
      </c>
    </row>
    <row r="6" spans="1:7" outlineLevel="1" x14ac:dyDescent="0.35">
      <c r="A6" s="8" t="s">
        <v>2451</v>
      </c>
      <c r="B6" s="8" t="s">
        <v>2451</v>
      </c>
      <c r="C6" s="8"/>
      <c r="D6" s="8" t="s">
        <v>2439</v>
      </c>
      <c r="E6" s="8" t="s">
        <v>2451</v>
      </c>
      <c r="F6" s="8" t="s">
        <v>2451</v>
      </c>
      <c r="G6" s="8" t="s">
        <v>2451</v>
      </c>
    </row>
    <row r="7" spans="1:7" outlineLevel="1" x14ac:dyDescent="0.35">
      <c r="A7" s="8" t="s">
        <v>2451</v>
      </c>
      <c r="B7" s="8" t="s">
        <v>2451</v>
      </c>
      <c r="C7" s="8"/>
      <c r="D7" s="8" t="s">
        <v>2440</v>
      </c>
      <c r="E7" s="8" t="s">
        <v>2451</v>
      </c>
      <c r="F7" s="8" t="s">
        <v>2451</v>
      </c>
      <c r="G7" s="8" t="s">
        <v>2451</v>
      </c>
    </row>
    <row r="8" spans="1:7" outlineLevel="1" x14ac:dyDescent="0.35">
      <c r="A8" s="8" t="s">
        <v>2451</v>
      </c>
      <c r="B8" s="8" t="s">
        <v>2451</v>
      </c>
      <c r="C8" s="8"/>
      <c r="D8" s="8" t="s">
        <v>2441</v>
      </c>
      <c r="E8" s="8" t="s">
        <v>2451</v>
      </c>
      <c r="F8" s="8" t="s">
        <v>2451</v>
      </c>
      <c r="G8" s="8" t="s">
        <v>2451</v>
      </c>
    </row>
    <row r="9" spans="1:7" x14ac:dyDescent="0.35">
      <c r="A9" s="8" t="s">
        <v>8</v>
      </c>
      <c r="B9" s="8" t="s">
        <v>9</v>
      </c>
      <c r="C9" s="8">
        <v>2</v>
      </c>
      <c r="D9" s="8" t="s">
        <v>2451</v>
      </c>
      <c r="E9" s="8" t="s">
        <v>2451</v>
      </c>
      <c r="F9" s="8" t="s">
        <v>2451</v>
      </c>
      <c r="G9" s="8" t="s">
        <v>2451</v>
      </c>
    </row>
    <row r="10" spans="1:7" outlineLevel="1" x14ac:dyDescent="0.35">
      <c r="A10" s="8" t="s">
        <v>2451</v>
      </c>
      <c r="B10" s="8" t="s">
        <v>2451</v>
      </c>
      <c r="C10" s="8"/>
      <c r="D10" s="8" t="s">
        <v>2437</v>
      </c>
      <c r="E10" s="8" t="s">
        <v>2451</v>
      </c>
      <c r="F10" s="8" t="s">
        <v>2451</v>
      </c>
      <c r="G10" s="8" t="s">
        <v>2451</v>
      </c>
    </row>
    <row r="11" spans="1:7" outlineLevel="1" x14ac:dyDescent="0.35">
      <c r="A11" s="8" t="s">
        <v>2451</v>
      </c>
      <c r="B11" s="8" t="s">
        <v>2451</v>
      </c>
      <c r="C11" s="8"/>
      <c r="D11" s="8" t="s">
        <v>2438</v>
      </c>
      <c r="E11" s="8" t="s">
        <v>2451</v>
      </c>
      <c r="F11" s="8" t="s">
        <v>2451</v>
      </c>
      <c r="G11" s="8" t="s">
        <v>2451</v>
      </c>
    </row>
    <row r="12" spans="1:7" x14ac:dyDescent="0.35">
      <c r="A12" s="8" t="s">
        <v>8</v>
      </c>
      <c r="B12" s="8" t="s">
        <v>10</v>
      </c>
      <c r="C12" s="8">
        <v>2</v>
      </c>
      <c r="D12" s="8" t="s">
        <v>2451</v>
      </c>
      <c r="E12" s="8" t="s">
        <v>2451</v>
      </c>
      <c r="F12" s="8" t="s">
        <v>2451</v>
      </c>
      <c r="G12" s="8" t="s">
        <v>2451</v>
      </c>
    </row>
    <row r="13" spans="1:7" outlineLevel="1" x14ac:dyDescent="0.35">
      <c r="A13" s="8" t="s">
        <v>2451</v>
      </c>
      <c r="B13" s="8" t="s">
        <v>2451</v>
      </c>
      <c r="C13" s="8"/>
      <c r="D13" s="8" t="s">
        <v>2435</v>
      </c>
      <c r="E13" s="8" t="s">
        <v>2451</v>
      </c>
      <c r="F13" s="8" t="s">
        <v>2451</v>
      </c>
      <c r="G13" s="8" t="s">
        <v>2451</v>
      </c>
    </row>
    <row r="14" spans="1:7" outlineLevel="1" x14ac:dyDescent="0.35">
      <c r="A14" s="8" t="s">
        <v>2451</v>
      </c>
      <c r="B14" s="8" t="s">
        <v>2451</v>
      </c>
      <c r="C14" s="8"/>
      <c r="D14" s="8" t="s">
        <v>2436</v>
      </c>
      <c r="E14" s="8" t="s">
        <v>2451</v>
      </c>
      <c r="F14" s="8" t="s">
        <v>2451</v>
      </c>
      <c r="G14" s="8" t="s">
        <v>2451</v>
      </c>
    </row>
    <row r="15" spans="1:7" x14ac:dyDescent="0.35">
      <c r="A15" s="8" t="s">
        <v>11</v>
      </c>
      <c r="B15" s="8" t="s">
        <v>12</v>
      </c>
      <c r="C15" s="8">
        <v>15</v>
      </c>
      <c r="D15" s="8" t="s">
        <v>2451</v>
      </c>
      <c r="E15" s="8" t="s">
        <v>2451</v>
      </c>
      <c r="F15" s="8" t="s">
        <v>2451</v>
      </c>
      <c r="G15" s="8" t="s">
        <v>2451</v>
      </c>
    </row>
    <row r="16" spans="1:7" outlineLevel="1" x14ac:dyDescent="0.35">
      <c r="A16" s="8" t="s">
        <v>2451</v>
      </c>
      <c r="B16" s="8" t="s">
        <v>2451</v>
      </c>
      <c r="C16" s="8"/>
      <c r="D16" s="8" t="s">
        <v>2420</v>
      </c>
      <c r="E16" s="8" t="s">
        <v>2451</v>
      </c>
      <c r="F16" s="8" t="s">
        <v>2451</v>
      </c>
      <c r="G16" s="8" t="s">
        <v>2451</v>
      </c>
    </row>
    <row r="17" spans="1:7" outlineLevel="1" x14ac:dyDescent="0.35">
      <c r="A17" s="8" t="s">
        <v>2451</v>
      </c>
      <c r="B17" s="8" t="s">
        <v>2451</v>
      </c>
      <c r="C17" s="8"/>
      <c r="D17" s="8" t="s">
        <v>2421</v>
      </c>
      <c r="E17" s="8" t="s">
        <v>2451</v>
      </c>
      <c r="F17" s="8" t="s">
        <v>2451</v>
      </c>
      <c r="G17" s="8" t="s">
        <v>2451</v>
      </c>
    </row>
    <row r="18" spans="1:7" outlineLevel="1" x14ac:dyDescent="0.35">
      <c r="A18" s="8" t="s">
        <v>2451</v>
      </c>
      <c r="B18" s="8" t="s">
        <v>2451</v>
      </c>
      <c r="C18" s="8"/>
      <c r="D18" s="8" t="s">
        <v>2422</v>
      </c>
      <c r="E18" s="8" t="s">
        <v>2451</v>
      </c>
      <c r="F18" s="8" t="s">
        <v>2451</v>
      </c>
      <c r="G18" s="8" t="s">
        <v>2451</v>
      </c>
    </row>
    <row r="19" spans="1:7" outlineLevel="1" x14ac:dyDescent="0.35">
      <c r="A19" s="8" t="s">
        <v>2451</v>
      </c>
      <c r="B19" s="8" t="s">
        <v>2451</v>
      </c>
      <c r="C19" s="8"/>
      <c r="D19" s="8" t="s">
        <v>2423</v>
      </c>
      <c r="E19" s="8" t="s">
        <v>2451</v>
      </c>
      <c r="F19" s="8" t="s">
        <v>2451</v>
      </c>
      <c r="G19" s="8" t="s">
        <v>2451</v>
      </c>
    </row>
    <row r="20" spans="1:7" outlineLevel="1" x14ac:dyDescent="0.35">
      <c r="A20" s="8" t="s">
        <v>2451</v>
      </c>
      <c r="B20" s="8" t="s">
        <v>2451</v>
      </c>
      <c r="C20" s="8"/>
      <c r="D20" s="8" t="s">
        <v>2424</v>
      </c>
      <c r="E20" s="8" t="s">
        <v>2451</v>
      </c>
      <c r="F20" s="8" t="s">
        <v>2451</v>
      </c>
      <c r="G20" s="8" t="s">
        <v>2451</v>
      </c>
    </row>
    <row r="21" spans="1:7" outlineLevel="1" x14ac:dyDescent="0.35">
      <c r="A21" s="8" t="s">
        <v>2451</v>
      </c>
      <c r="B21" s="8" t="s">
        <v>2451</v>
      </c>
      <c r="C21" s="8"/>
      <c r="D21" s="8" t="s">
        <v>2425</v>
      </c>
      <c r="E21" s="8" t="s">
        <v>2451</v>
      </c>
      <c r="F21" s="8" t="s">
        <v>2451</v>
      </c>
      <c r="G21" s="8" t="s">
        <v>2451</v>
      </c>
    </row>
    <row r="22" spans="1:7" outlineLevel="1" x14ac:dyDescent="0.35">
      <c r="A22" s="8" t="s">
        <v>2451</v>
      </c>
      <c r="B22" s="8" t="s">
        <v>2451</v>
      </c>
      <c r="C22" s="8"/>
      <c r="D22" s="8" t="s">
        <v>2426</v>
      </c>
      <c r="E22" s="8" t="s">
        <v>2451</v>
      </c>
      <c r="F22" s="8" t="s">
        <v>2451</v>
      </c>
      <c r="G22" s="8" t="s">
        <v>2451</v>
      </c>
    </row>
    <row r="23" spans="1:7" outlineLevel="1" x14ac:dyDescent="0.35">
      <c r="A23" s="8" t="s">
        <v>2451</v>
      </c>
      <c r="B23" s="8" t="s">
        <v>2451</v>
      </c>
      <c r="C23" s="8"/>
      <c r="D23" s="8" t="s">
        <v>2427</v>
      </c>
      <c r="E23" s="8" t="s">
        <v>2451</v>
      </c>
      <c r="F23" s="8" t="s">
        <v>2451</v>
      </c>
      <c r="G23" s="8" t="s">
        <v>2451</v>
      </c>
    </row>
    <row r="24" spans="1:7" outlineLevel="1" x14ac:dyDescent="0.35">
      <c r="A24" s="8" t="s">
        <v>2451</v>
      </c>
      <c r="B24" s="8" t="s">
        <v>2451</v>
      </c>
      <c r="C24" s="8"/>
      <c r="D24" s="8" t="s">
        <v>2428</v>
      </c>
      <c r="E24" s="8" t="s">
        <v>2451</v>
      </c>
      <c r="F24" s="8" t="s">
        <v>2451</v>
      </c>
      <c r="G24" s="8" t="s">
        <v>2451</v>
      </c>
    </row>
    <row r="25" spans="1:7" outlineLevel="1" x14ac:dyDescent="0.35">
      <c r="A25" s="8" t="s">
        <v>2451</v>
      </c>
      <c r="B25" s="8" t="s">
        <v>2451</v>
      </c>
      <c r="C25" s="8"/>
      <c r="D25" s="8" t="s">
        <v>2429</v>
      </c>
      <c r="E25" s="8" t="s">
        <v>2451</v>
      </c>
      <c r="F25" s="8" t="s">
        <v>2451</v>
      </c>
      <c r="G25" s="8" t="s">
        <v>2451</v>
      </c>
    </row>
    <row r="26" spans="1:7" outlineLevel="1" x14ac:dyDescent="0.35">
      <c r="A26" s="8" t="s">
        <v>2451</v>
      </c>
      <c r="B26" s="8" t="s">
        <v>2451</v>
      </c>
      <c r="C26" s="8"/>
      <c r="D26" s="8" t="s">
        <v>2430</v>
      </c>
      <c r="E26" s="8" t="s">
        <v>2451</v>
      </c>
      <c r="F26" s="8" t="s">
        <v>2451</v>
      </c>
      <c r="G26" s="8" t="s">
        <v>2451</v>
      </c>
    </row>
    <row r="27" spans="1:7" outlineLevel="1" x14ac:dyDescent="0.35">
      <c r="A27" s="8" t="s">
        <v>2451</v>
      </c>
      <c r="B27" s="8" t="s">
        <v>2451</v>
      </c>
      <c r="C27" s="8"/>
      <c r="D27" s="8" t="s">
        <v>2431</v>
      </c>
      <c r="E27" s="8" t="s">
        <v>2451</v>
      </c>
      <c r="F27" s="8" t="s">
        <v>2451</v>
      </c>
      <c r="G27" s="8" t="s">
        <v>2451</v>
      </c>
    </row>
    <row r="28" spans="1:7" outlineLevel="1" x14ac:dyDescent="0.35">
      <c r="A28" s="8" t="s">
        <v>2451</v>
      </c>
      <c r="B28" s="8" t="s">
        <v>2451</v>
      </c>
      <c r="C28" s="8"/>
      <c r="D28" s="8" t="s">
        <v>2432</v>
      </c>
      <c r="E28" s="8" t="s">
        <v>2451</v>
      </c>
      <c r="F28" s="8" t="s">
        <v>2451</v>
      </c>
      <c r="G28" s="8" t="s">
        <v>2451</v>
      </c>
    </row>
    <row r="29" spans="1:7" outlineLevel="1" x14ac:dyDescent="0.35">
      <c r="A29" s="8" t="s">
        <v>2451</v>
      </c>
      <c r="B29" s="8" t="s">
        <v>2451</v>
      </c>
      <c r="C29" s="8"/>
      <c r="D29" s="8" t="s">
        <v>2433</v>
      </c>
      <c r="E29" s="8" t="s">
        <v>2451</v>
      </c>
      <c r="F29" s="8" t="s">
        <v>2451</v>
      </c>
      <c r="G29" s="8" t="s">
        <v>2451</v>
      </c>
    </row>
    <row r="30" spans="1:7" outlineLevel="1" x14ac:dyDescent="0.35">
      <c r="A30" s="8" t="s">
        <v>2451</v>
      </c>
      <c r="B30" s="8" t="s">
        <v>2451</v>
      </c>
      <c r="C30" s="8"/>
      <c r="D30" s="8" t="s">
        <v>2434</v>
      </c>
      <c r="E30" s="8" t="s">
        <v>2451</v>
      </c>
      <c r="F30" s="8" t="s">
        <v>2451</v>
      </c>
      <c r="G30" s="8" t="s">
        <v>2451</v>
      </c>
    </row>
    <row r="31" spans="1:7" x14ac:dyDescent="0.35">
      <c r="A31" s="8" t="s">
        <v>13</v>
      </c>
      <c r="B31" s="8" t="s">
        <v>14</v>
      </c>
      <c r="C31" s="8">
        <v>1</v>
      </c>
      <c r="D31" s="8" t="s">
        <v>2451</v>
      </c>
      <c r="E31" s="8" t="s">
        <v>2451</v>
      </c>
      <c r="F31" s="8" t="s">
        <v>2451</v>
      </c>
      <c r="G31" s="8" t="s">
        <v>2451</v>
      </c>
    </row>
    <row r="32" spans="1:7" x14ac:dyDescent="0.35">
      <c r="A32" s="8" t="s">
        <v>2451</v>
      </c>
      <c r="B32" s="8" t="s">
        <v>2451</v>
      </c>
      <c r="C32" s="8"/>
      <c r="D32" s="8" t="s">
        <v>2419</v>
      </c>
      <c r="E32" s="8" t="s">
        <v>2451</v>
      </c>
      <c r="F32" s="8" t="s">
        <v>2451</v>
      </c>
      <c r="G32" s="8" t="s">
        <v>2451</v>
      </c>
    </row>
    <row r="33" spans="1:7" x14ac:dyDescent="0.35">
      <c r="A33" s="8" t="s">
        <v>11</v>
      </c>
      <c r="B33" s="8" t="s">
        <v>15</v>
      </c>
      <c r="C33" s="8">
        <v>1</v>
      </c>
      <c r="D33" s="8" t="s">
        <v>2451</v>
      </c>
      <c r="E33" s="8" t="s">
        <v>2451</v>
      </c>
      <c r="F33" s="8" t="s">
        <v>2451</v>
      </c>
      <c r="G33" s="8" t="s">
        <v>2451</v>
      </c>
    </row>
    <row r="34" spans="1:7" x14ac:dyDescent="0.35">
      <c r="A34" s="8" t="s">
        <v>2451</v>
      </c>
      <c r="B34" s="8" t="s">
        <v>2451</v>
      </c>
      <c r="C34" s="8"/>
      <c r="D34" s="8" t="s">
        <v>2418</v>
      </c>
      <c r="E34" s="8" t="s">
        <v>2451</v>
      </c>
      <c r="F34" s="8" t="s">
        <v>2451</v>
      </c>
      <c r="G34" s="8" t="s">
        <v>2451</v>
      </c>
    </row>
    <row r="35" spans="1:7" x14ac:dyDescent="0.35">
      <c r="A35" s="8" t="s">
        <v>11</v>
      </c>
      <c r="B35" s="8" t="s">
        <v>16</v>
      </c>
      <c r="C35" s="8">
        <v>2</v>
      </c>
      <c r="D35" s="8" t="s">
        <v>2451</v>
      </c>
      <c r="E35" s="8" t="s">
        <v>2451</v>
      </c>
      <c r="F35" s="8" t="s">
        <v>2451</v>
      </c>
      <c r="G35" s="8" t="s">
        <v>2451</v>
      </c>
    </row>
    <row r="36" spans="1:7" outlineLevel="1" x14ac:dyDescent="0.35">
      <c r="A36" s="8" t="s">
        <v>2451</v>
      </c>
      <c r="B36" s="8" t="s">
        <v>2451</v>
      </c>
      <c r="C36" s="8"/>
      <c r="D36" s="8" t="s">
        <v>2416</v>
      </c>
      <c r="E36" s="8" t="s">
        <v>2451</v>
      </c>
      <c r="F36" s="8" t="s">
        <v>2451</v>
      </c>
      <c r="G36" s="8" t="s">
        <v>2451</v>
      </c>
    </row>
    <row r="37" spans="1:7" outlineLevel="1" x14ac:dyDescent="0.35">
      <c r="A37" s="8" t="s">
        <v>2451</v>
      </c>
      <c r="B37" s="8" t="s">
        <v>2451</v>
      </c>
      <c r="C37" s="8"/>
      <c r="D37" s="8" t="s">
        <v>2417</v>
      </c>
      <c r="E37" s="8" t="s">
        <v>2451</v>
      </c>
      <c r="F37" s="8" t="s">
        <v>2451</v>
      </c>
      <c r="G37" s="8" t="s">
        <v>2451</v>
      </c>
    </row>
    <row r="38" spans="1:7" x14ac:dyDescent="0.35">
      <c r="A38" s="8" t="s">
        <v>17</v>
      </c>
      <c r="B38" s="8" t="s">
        <v>18</v>
      </c>
      <c r="C38" s="8">
        <v>2</v>
      </c>
      <c r="D38" s="8" t="s">
        <v>2451</v>
      </c>
      <c r="E38" s="8" t="s">
        <v>2451</v>
      </c>
      <c r="F38" s="8" t="s">
        <v>2451</v>
      </c>
      <c r="G38" s="8" t="s">
        <v>2451</v>
      </c>
    </row>
    <row r="39" spans="1:7" outlineLevel="1" x14ac:dyDescent="0.35">
      <c r="A39" s="8" t="s">
        <v>2451</v>
      </c>
      <c r="B39" s="8" t="s">
        <v>2451</v>
      </c>
      <c r="C39" s="8"/>
      <c r="D39" s="8" t="s">
        <v>2414</v>
      </c>
      <c r="E39" s="8" t="s">
        <v>2451</v>
      </c>
      <c r="F39" s="8" t="s">
        <v>2451</v>
      </c>
      <c r="G39" s="8" t="s">
        <v>2451</v>
      </c>
    </row>
    <row r="40" spans="1:7" outlineLevel="1" x14ac:dyDescent="0.35">
      <c r="A40" s="8" t="s">
        <v>2451</v>
      </c>
      <c r="B40" s="8" t="s">
        <v>2451</v>
      </c>
      <c r="C40" s="8"/>
      <c r="D40" s="8" t="s">
        <v>2415</v>
      </c>
      <c r="E40" s="8" t="s">
        <v>2451</v>
      </c>
      <c r="F40" s="8" t="s">
        <v>2451</v>
      </c>
      <c r="G40" s="8" t="s">
        <v>2451</v>
      </c>
    </row>
    <row r="41" spans="1:7" x14ac:dyDescent="0.35">
      <c r="A41" s="8" t="s">
        <v>19</v>
      </c>
      <c r="B41" s="8" t="s">
        <v>20</v>
      </c>
      <c r="C41" s="8">
        <v>2</v>
      </c>
      <c r="D41" s="8" t="s">
        <v>2451</v>
      </c>
      <c r="E41" s="8" t="s">
        <v>2451</v>
      </c>
      <c r="F41" s="8" t="s">
        <v>2451</v>
      </c>
      <c r="G41" s="8" t="s">
        <v>2451</v>
      </c>
    </row>
    <row r="42" spans="1:7" outlineLevel="1" x14ac:dyDescent="0.35">
      <c r="A42" s="8" t="s">
        <v>2451</v>
      </c>
      <c r="B42" s="8" t="s">
        <v>2451</v>
      </c>
      <c r="C42" s="8"/>
      <c r="D42" s="8" t="s">
        <v>2412</v>
      </c>
      <c r="E42" s="8" t="s">
        <v>2451</v>
      </c>
      <c r="F42" s="8" t="s">
        <v>2451</v>
      </c>
      <c r="G42" s="8" t="s">
        <v>2451</v>
      </c>
    </row>
    <row r="43" spans="1:7" outlineLevel="1" x14ac:dyDescent="0.35">
      <c r="A43" s="8" t="s">
        <v>2451</v>
      </c>
      <c r="B43" s="8" t="s">
        <v>2451</v>
      </c>
      <c r="C43" s="8"/>
      <c r="D43" s="8" t="s">
        <v>2413</v>
      </c>
      <c r="E43" s="8" t="s">
        <v>2451</v>
      </c>
      <c r="F43" s="8" t="s">
        <v>2451</v>
      </c>
      <c r="G43" s="8" t="s">
        <v>2451</v>
      </c>
    </row>
    <row r="44" spans="1:7" x14ac:dyDescent="0.35">
      <c r="A44" s="8" t="s">
        <v>21</v>
      </c>
      <c r="B44" s="8" t="s">
        <v>21</v>
      </c>
      <c r="C44" s="8">
        <v>11</v>
      </c>
      <c r="D44" s="8" t="s">
        <v>2451</v>
      </c>
      <c r="E44" s="8" t="s">
        <v>2451</v>
      </c>
      <c r="F44" s="8" t="s">
        <v>2451</v>
      </c>
      <c r="G44" s="8" t="s">
        <v>2451</v>
      </c>
    </row>
    <row r="45" spans="1:7" outlineLevel="1" x14ac:dyDescent="0.35">
      <c r="A45" s="8" t="s">
        <v>2451</v>
      </c>
      <c r="B45" s="8" t="s">
        <v>2451</v>
      </c>
      <c r="C45" s="8"/>
      <c r="D45" s="8" t="s">
        <v>2401</v>
      </c>
      <c r="E45" s="8" t="s">
        <v>2451</v>
      </c>
      <c r="F45" s="8" t="s">
        <v>2451</v>
      </c>
      <c r="G45" s="8" t="s">
        <v>2451</v>
      </c>
    </row>
    <row r="46" spans="1:7" outlineLevel="1" x14ac:dyDescent="0.35">
      <c r="A46" s="8" t="s">
        <v>2451</v>
      </c>
      <c r="B46" s="8" t="s">
        <v>2451</v>
      </c>
      <c r="C46" s="8"/>
      <c r="D46" s="8" t="s">
        <v>2402</v>
      </c>
      <c r="E46" s="8" t="s">
        <v>2451</v>
      </c>
      <c r="F46" s="8" t="s">
        <v>2451</v>
      </c>
      <c r="G46" s="8" t="s">
        <v>2451</v>
      </c>
    </row>
    <row r="47" spans="1:7" outlineLevel="1" x14ac:dyDescent="0.35">
      <c r="A47" s="8" t="s">
        <v>2451</v>
      </c>
      <c r="B47" s="8" t="s">
        <v>2451</v>
      </c>
      <c r="C47" s="8"/>
      <c r="D47" s="8" t="s">
        <v>2403</v>
      </c>
      <c r="E47" s="8" t="s">
        <v>2451</v>
      </c>
      <c r="F47" s="8" t="s">
        <v>2451</v>
      </c>
      <c r="G47" s="8" t="s">
        <v>2451</v>
      </c>
    </row>
    <row r="48" spans="1:7" outlineLevel="1" x14ac:dyDescent="0.35">
      <c r="A48" s="8" t="s">
        <v>2451</v>
      </c>
      <c r="B48" s="8" t="s">
        <v>2451</v>
      </c>
      <c r="C48" s="8"/>
      <c r="D48" s="8" t="s">
        <v>2404</v>
      </c>
      <c r="E48" s="8" t="s">
        <v>2451</v>
      </c>
      <c r="F48" s="8" t="s">
        <v>2451</v>
      </c>
      <c r="G48" s="8" t="s">
        <v>2451</v>
      </c>
    </row>
    <row r="49" spans="1:7" outlineLevel="1" x14ac:dyDescent="0.35">
      <c r="A49" s="8" t="s">
        <v>2451</v>
      </c>
      <c r="B49" s="8" t="s">
        <v>2451</v>
      </c>
      <c r="C49" s="8"/>
      <c r="D49" s="8" t="s">
        <v>2405</v>
      </c>
      <c r="E49" s="8" t="s">
        <v>2451</v>
      </c>
      <c r="F49" s="8" t="s">
        <v>2451</v>
      </c>
      <c r="G49" s="8" t="s">
        <v>2451</v>
      </c>
    </row>
    <row r="50" spans="1:7" outlineLevel="1" x14ac:dyDescent="0.35">
      <c r="A50" s="8" t="s">
        <v>2451</v>
      </c>
      <c r="B50" s="8" t="s">
        <v>2451</v>
      </c>
      <c r="C50" s="8"/>
      <c r="D50" s="8" t="s">
        <v>2406</v>
      </c>
      <c r="E50" s="8" t="s">
        <v>2451</v>
      </c>
      <c r="F50" s="8" t="s">
        <v>2451</v>
      </c>
      <c r="G50" s="8" t="s">
        <v>2451</v>
      </c>
    </row>
    <row r="51" spans="1:7" outlineLevel="1" x14ac:dyDescent="0.35">
      <c r="A51" s="8" t="s">
        <v>2451</v>
      </c>
      <c r="B51" s="8" t="s">
        <v>2451</v>
      </c>
      <c r="C51" s="8"/>
      <c r="D51" s="8" t="s">
        <v>2407</v>
      </c>
      <c r="E51" s="8" t="s">
        <v>2451</v>
      </c>
      <c r="F51" s="8" t="s">
        <v>2451</v>
      </c>
      <c r="G51" s="8" t="s">
        <v>2451</v>
      </c>
    </row>
    <row r="52" spans="1:7" outlineLevel="1" x14ac:dyDescent="0.35">
      <c r="A52" s="8" t="s">
        <v>2451</v>
      </c>
      <c r="B52" s="8" t="s">
        <v>2451</v>
      </c>
      <c r="C52" s="8"/>
      <c r="D52" s="8" t="s">
        <v>2408</v>
      </c>
      <c r="E52" s="8" t="s">
        <v>2451</v>
      </c>
      <c r="F52" s="8" t="s">
        <v>2451</v>
      </c>
      <c r="G52" s="8" t="s">
        <v>2451</v>
      </c>
    </row>
    <row r="53" spans="1:7" outlineLevel="1" x14ac:dyDescent="0.35">
      <c r="A53" s="8" t="s">
        <v>2451</v>
      </c>
      <c r="B53" s="8" t="s">
        <v>2451</v>
      </c>
      <c r="C53" s="8"/>
      <c r="D53" s="8" t="s">
        <v>2409</v>
      </c>
      <c r="E53" s="8" t="s">
        <v>2451</v>
      </c>
      <c r="F53" s="8" t="s">
        <v>2451</v>
      </c>
      <c r="G53" s="8" t="s">
        <v>2451</v>
      </c>
    </row>
    <row r="54" spans="1:7" outlineLevel="1" x14ac:dyDescent="0.35">
      <c r="A54" s="8" t="s">
        <v>2451</v>
      </c>
      <c r="B54" s="8" t="s">
        <v>2451</v>
      </c>
      <c r="C54" s="8"/>
      <c r="D54" s="8" t="s">
        <v>2410</v>
      </c>
      <c r="E54" s="8" t="s">
        <v>2451</v>
      </c>
      <c r="F54" s="8" t="s">
        <v>2451</v>
      </c>
      <c r="G54" s="8" t="s">
        <v>2451</v>
      </c>
    </row>
    <row r="55" spans="1:7" outlineLevel="1" x14ac:dyDescent="0.35">
      <c r="A55" s="8" t="s">
        <v>2451</v>
      </c>
      <c r="B55" s="8" t="s">
        <v>2451</v>
      </c>
      <c r="C55" s="8"/>
      <c r="D55" s="8" t="s">
        <v>2411</v>
      </c>
      <c r="E55" s="8" t="s">
        <v>2451</v>
      </c>
      <c r="F55" s="8" t="s">
        <v>2451</v>
      </c>
      <c r="G55" s="8" t="s">
        <v>2451</v>
      </c>
    </row>
    <row r="56" spans="1:7" x14ac:dyDescent="0.35">
      <c r="A56" s="8" t="s">
        <v>22</v>
      </c>
      <c r="B56" s="8" t="s">
        <v>22</v>
      </c>
      <c r="C56" s="8">
        <v>9</v>
      </c>
      <c r="D56" s="8" t="s">
        <v>2451</v>
      </c>
      <c r="E56" s="8" t="s">
        <v>2451</v>
      </c>
      <c r="F56" s="8" t="s">
        <v>2451</v>
      </c>
      <c r="G56" s="8" t="s">
        <v>2451</v>
      </c>
    </row>
    <row r="57" spans="1:7" outlineLevel="1" x14ac:dyDescent="0.35">
      <c r="A57" s="8" t="s">
        <v>2451</v>
      </c>
      <c r="B57" s="8" t="s">
        <v>2451</v>
      </c>
      <c r="C57" s="8"/>
      <c r="D57" s="8" t="s">
        <v>2392</v>
      </c>
      <c r="E57" s="8" t="s">
        <v>2451</v>
      </c>
      <c r="F57" s="8" t="s">
        <v>2451</v>
      </c>
      <c r="G57" s="8" t="s">
        <v>2451</v>
      </c>
    </row>
    <row r="58" spans="1:7" outlineLevel="1" x14ac:dyDescent="0.35">
      <c r="A58" s="8" t="s">
        <v>2451</v>
      </c>
      <c r="B58" s="8" t="s">
        <v>2451</v>
      </c>
      <c r="C58" s="8"/>
      <c r="D58" s="8" t="s">
        <v>2393</v>
      </c>
      <c r="E58" s="8" t="s">
        <v>2451</v>
      </c>
      <c r="F58" s="8" t="s">
        <v>2451</v>
      </c>
      <c r="G58" s="8" t="s">
        <v>2451</v>
      </c>
    </row>
    <row r="59" spans="1:7" outlineLevel="1" x14ac:dyDescent="0.35">
      <c r="A59" s="8" t="s">
        <v>2451</v>
      </c>
      <c r="B59" s="8" t="s">
        <v>2451</v>
      </c>
      <c r="C59" s="8"/>
      <c r="D59" s="8" t="s">
        <v>2394</v>
      </c>
      <c r="E59" s="8" t="s">
        <v>2451</v>
      </c>
      <c r="F59" s="8" t="s">
        <v>2451</v>
      </c>
      <c r="G59" s="8" t="s">
        <v>2451</v>
      </c>
    </row>
    <row r="60" spans="1:7" outlineLevel="1" x14ac:dyDescent="0.35">
      <c r="A60" s="8" t="s">
        <v>2451</v>
      </c>
      <c r="B60" s="8" t="s">
        <v>2451</v>
      </c>
      <c r="C60" s="8"/>
      <c r="D60" s="8" t="s">
        <v>2395</v>
      </c>
      <c r="E60" s="8" t="s">
        <v>2451</v>
      </c>
      <c r="F60" s="8" t="s">
        <v>2451</v>
      </c>
      <c r="G60" s="8" t="s">
        <v>2451</v>
      </c>
    </row>
    <row r="61" spans="1:7" outlineLevel="1" x14ac:dyDescent="0.35">
      <c r="A61" s="8" t="s">
        <v>2451</v>
      </c>
      <c r="B61" s="8" t="s">
        <v>2451</v>
      </c>
      <c r="C61" s="8"/>
      <c r="D61" s="8" t="s">
        <v>2396</v>
      </c>
      <c r="E61" s="8" t="s">
        <v>2451</v>
      </c>
      <c r="F61" s="8" t="s">
        <v>2451</v>
      </c>
      <c r="G61" s="8" t="s">
        <v>2451</v>
      </c>
    </row>
    <row r="62" spans="1:7" outlineLevel="1" x14ac:dyDescent="0.35">
      <c r="A62" s="8" t="s">
        <v>2451</v>
      </c>
      <c r="B62" s="8" t="s">
        <v>2451</v>
      </c>
      <c r="C62" s="8"/>
      <c r="D62" s="8" t="s">
        <v>2397</v>
      </c>
      <c r="E62" s="8" t="s">
        <v>2451</v>
      </c>
      <c r="F62" s="8" t="s">
        <v>2451</v>
      </c>
      <c r="G62" s="8" t="s">
        <v>2451</v>
      </c>
    </row>
    <row r="63" spans="1:7" outlineLevel="1" x14ac:dyDescent="0.35">
      <c r="A63" s="8" t="s">
        <v>2451</v>
      </c>
      <c r="B63" s="8" t="s">
        <v>2451</v>
      </c>
      <c r="C63" s="8"/>
      <c r="D63" s="8" t="s">
        <v>2398</v>
      </c>
      <c r="E63" s="8" t="s">
        <v>2451</v>
      </c>
      <c r="F63" s="8" t="s">
        <v>2451</v>
      </c>
      <c r="G63" s="8" t="s">
        <v>2451</v>
      </c>
    </row>
    <row r="64" spans="1:7" outlineLevel="1" x14ac:dyDescent="0.35">
      <c r="A64" s="8" t="s">
        <v>2451</v>
      </c>
      <c r="B64" s="8" t="s">
        <v>2451</v>
      </c>
      <c r="C64" s="8"/>
      <c r="D64" s="8" t="s">
        <v>2399</v>
      </c>
      <c r="E64" s="8" t="s">
        <v>2451</v>
      </c>
      <c r="F64" s="8" t="s">
        <v>2451</v>
      </c>
      <c r="G64" s="8" t="s">
        <v>2451</v>
      </c>
    </row>
    <row r="65" spans="1:7" outlineLevel="1" x14ac:dyDescent="0.35">
      <c r="A65" s="8" t="s">
        <v>2451</v>
      </c>
      <c r="B65" s="8" t="s">
        <v>2451</v>
      </c>
      <c r="C65" s="8"/>
      <c r="D65" s="8" t="s">
        <v>2400</v>
      </c>
      <c r="E65" s="8" t="s">
        <v>2451</v>
      </c>
      <c r="F65" s="8" t="s">
        <v>2451</v>
      </c>
      <c r="G65" s="8" t="s">
        <v>2451</v>
      </c>
    </row>
    <row r="66" spans="1:7" x14ac:dyDescent="0.35">
      <c r="A66" s="8" t="s">
        <v>23</v>
      </c>
      <c r="B66" s="8" t="s">
        <v>24</v>
      </c>
      <c r="C66" s="8">
        <v>4</v>
      </c>
      <c r="D66" s="8" t="s">
        <v>2451</v>
      </c>
      <c r="E66" s="8" t="s">
        <v>2451</v>
      </c>
      <c r="F66" s="8" t="s">
        <v>2451</v>
      </c>
      <c r="G66" s="8" t="s">
        <v>2451</v>
      </c>
    </row>
    <row r="67" spans="1:7" outlineLevel="1" x14ac:dyDescent="0.35">
      <c r="A67" s="8" t="s">
        <v>2451</v>
      </c>
      <c r="B67" s="8" t="s">
        <v>2451</v>
      </c>
      <c r="C67" s="8"/>
      <c r="D67" s="8" t="s">
        <v>2119</v>
      </c>
      <c r="E67" s="8" t="s">
        <v>2451</v>
      </c>
      <c r="F67" s="8" t="s">
        <v>2451</v>
      </c>
      <c r="G67" s="8" t="s">
        <v>2451</v>
      </c>
    </row>
    <row r="68" spans="1:7" outlineLevel="1" x14ac:dyDescent="0.35">
      <c r="A68" s="8" t="s">
        <v>2451</v>
      </c>
      <c r="B68" s="8" t="s">
        <v>2451</v>
      </c>
      <c r="C68" s="8"/>
      <c r="D68" s="8" t="s">
        <v>2120</v>
      </c>
      <c r="E68" s="8" t="s">
        <v>2451</v>
      </c>
      <c r="F68" s="8" t="s">
        <v>2451</v>
      </c>
      <c r="G68" s="8" t="s">
        <v>2451</v>
      </c>
    </row>
    <row r="69" spans="1:7" outlineLevel="1" x14ac:dyDescent="0.35">
      <c r="A69" s="8" t="s">
        <v>2451</v>
      </c>
      <c r="B69" s="8" t="s">
        <v>2451</v>
      </c>
      <c r="C69" s="8"/>
      <c r="D69" s="8" t="s">
        <v>2121</v>
      </c>
      <c r="E69" s="8" t="s">
        <v>2451</v>
      </c>
      <c r="F69" s="8" t="s">
        <v>2451</v>
      </c>
      <c r="G69" s="8" t="s">
        <v>2451</v>
      </c>
    </row>
    <row r="70" spans="1:7" outlineLevel="1" x14ac:dyDescent="0.35">
      <c r="A70" s="8" t="s">
        <v>2451</v>
      </c>
      <c r="B70" s="8" t="s">
        <v>2451</v>
      </c>
      <c r="C70" s="8"/>
      <c r="D70" s="8" t="s">
        <v>2122</v>
      </c>
      <c r="E70" s="8" t="s">
        <v>2451</v>
      </c>
      <c r="F70" s="8" t="s">
        <v>2451</v>
      </c>
      <c r="G70" s="8" t="s">
        <v>2451</v>
      </c>
    </row>
    <row r="71" spans="1:7" ht="25" x14ac:dyDescent="0.35">
      <c r="A71" s="8" t="s">
        <v>25</v>
      </c>
      <c r="B71" s="8" t="s">
        <v>26</v>
      </c>
      <c r="C71" s="8">
        <v>6</v>
      </c>
      <c r="D71" s="8" t="s">
        <v>2451</v>
      </c>
      <c r="E71" s="8" t="s">
        <v>2451</v>
      </c>
      <c r="F71" s="8" t="s">
        <v>2451</v>
      </c>
      <c r="G71" s="8" t="s">
        <v>2451</v>
      </c>
    </row>
    <row r="72" spans="1:7" outlineLevel="1" x14ac:dyDescent="0.35">
      <c r="A72" s="8" t="s">
        <v>2451</v>
      </c>
      <c r="B72" s="8" t="s">
        <v>2451</v>
      </c>
      <c r="C72" s="8"/>
      <c r="D72" s="8" t="s">
        <v>2386</v>
      </c>
      <c r="E72" s="8" t="s">
        <v>2451</v>
      </c>
      <c r="F72" s="8" t="s">
        <v>2451</v>
      </c>
      <c r="G72" s="8" t="s">
        <v>2451</v>
      </c>
    </row>
    <row r="73" spans="1:7" outlineLevel="1" x14ac:dyDescent="0.35">
      <c r="A73" s="8" t="s">
        <v>2451</v>
      </c>
      <c r="B73" s="8" t="s">
        <v>2451</v>
      </c>
      <c r="C73" s="8"/>
      <c r="D73" s="8" t="s">
        <v>2387</v>
      </c>
      <c r="E73" s="8" t="s">
        <v>2451</v>
      </c>
      <c r="F73" s="8" t="s">
        <v>2451</v>
      </c>
      <c r="G73" s="8" t="s">
        <v>2451</v>
      </c>
    </row>
    <row r="74" spans="1:7" outlineLevel="1" x14ac:dyDescent="0.35">
      <c r="A74" s="8" t="s">
        <v>2451</v>
      </c>
      <c r="B74" s="8" t="s">
        <v>2451</v>
      </c>
      <c r="C74" s="8"/>
      <c r="D74" s="8" t="s">
        <v>2388</v>
      </c>
      <c r="E74" s="8" t="s">
        <v>2451</v>
      </c>
      <c r="F74" s="8" t="s">
        <v>2451</v>
      </c>
      <c r="G74" s="8" t="s">
        <v>2451</v>
      </c>
    </row>
    <row r="75" spans="1:7" outlineLevel="1" x14ac:dyDescent="0.35">
      <c r="A75" s="8" t="s">
        <v>2451</v>
      </c>
      <c r="B75" s="8" t="s">
        <v>2451</v>
      </c>
      <c r="C75" s="8"/>
      <c r="D75" s="8" t="s">
        <v>2389</v>
      </c>
      <c r="E75" s="8" t="s">
        <v>2451</v>
      </c>
      <c r="F75" s="8" t="s">
        <v>2451</v>
      </c>
      <c r="G75" s="8" t="s">
        <v>2451</v>
      </c>
    </row>
    <row r="76" spans="1:7" outlineLevel="1" x14ac:dyDescent="0.35">
      <c r="A76" s="8" t="s">
        <v>2451</v>
      </c>
      <c r="B76" s="8" t="s">
        <v>2451</v>
      </c>
      <c r="C76" s="8"/>
      <c r="D76" s="8" t="s">
        <v>2390</v>
      </c>
      <c r="E76" s="8" t="s">
        <v>2451</v>
      </c>
      <c r="F76" s="8" t="s">
        <v>2451</v>
      </c>
      <c r="G76" s="8" t="s">
        <v>2451</v>
      </c>
    </row>
    <row r="77" spans="1:7" outlineLevel="1" x14ac:dyDescent="0.35">
      <c r="A77" s="8" t="s">
        <v>2451</v>
      </c>
      <c r="B77" s="8" t="s">
        <v>2451</v>
      </c>
      <c r="C77" s="8"/>
      <c r="D77" s="8" t="s">
        <v>2391</v>
      </c>
      <c r="E77" s="8" t="s">
        <v>2451</v>
      </c>
      <c r="F77" s="8" t="s">
        <v>2451</v>
      </c>
      <c r="G77" s="8" t="s">
        <v>2451</v>
      </c>
    </row>
    <row r="78" spans="1:7" x14ac:dyDescent="0.35">
      <c r="A78" s="8" t="s">
        <v>27</v>
      </c>
      <c r="B78" s="8" t="s">
        <v>28</v>
      </c>
      <c r="C78" s="8">
        <v>2</v>
      </c>
      <c r="D78" s="8" t="s">
        <v>2451</v>
      </c>
      <c r="E78" s="8" t="s">
        <v>2451</v>
      </c>
      <c r="F78" s="8" t="s">
        <v>2451</v>
      </c>
      <c r="G78" s="8" t="s">
        <v>2451</v>
      </c>
    </row>
    <row r="79" spans="1:7" outlineLevel="1" x14ac:dyDescent="0.35">
      <c r="A79" s="8" t="s">
        <v>2451</v>
      </c>
      <c r="B79" s="8" t="s">
        <v>2451</v>
      </c>
      <c r="C79" s="8"/>
      <c r="D79" s="8" t="s">
        <v>2384</v>
      </c>
      <c r="E79" s="8" t="s">
        <v>2451</v>
      </c>
      <c r="F79" s="8" t="s">
        <v>2451</v>
      </c>
      <c r="G79" s="8" t="s">
        <v>2451</v>
      </c>
    </row>
    <row r="80" spans="1:7" outlineLevel="1" x14ac:dyDescent="0.35">
      <c r="A80" s="8" t="s">
        <v>2451</v>
      </c>
      <c r="B80" s="8" t="s">
        <v>2451</v>
      </c>
      <c r="C80" s="8"/>
      <c r="D80" s="8" t="s">
        <v>2385</v>
      </c>
      <c r="E80" s="8" t="s">
        <v>2451</v>
      </c>
      <c r="F80" s="8" t="s">
        <v>2451</v>
      </c>
      <c r="G80" s="8" t="s">
        <v>2451</v>
      </c>
    </row>
    <row r="81" spans="1:7" x14ac:dyDescent="0.35">
      <c r="A81" s="8" t="s">
        <v>29</v>
      </c>
      <c r="B81" s="8" t="s">
        <v>30</v>
      </c>
      <c r="C81" s="8">
        <v>2</v>
      </c>
      <c r="D81" s="8" t="s">
        <v>2451</v>
      </c>
      <c r="E81" s="8" t="s">
        <v>2451</v>
      </c>
      <c r="F81" s="8" t="s">
        <v>2451</v>
      </c>
      <c r="G81" s="8" t="s">
        <v>2451</v>
      </c>
    </row>
    <row r="82" spans="1:7" outlineLevel="1" x14ac:dyDescent="0.35">
      <c r="A82" s="8" t="s">
        <v>2451</v>
      </c>
      <c r="B82" s="8" t="s">
        <v>2451</v>
      </c>
      <c r="C82" s="8"/>
      <c r="D82" s="8" t="s">
        <v>2382</v>
      </c>
      <c r="E82" s="8" t="s">
        <v>2451</v>
      </c>
      <c r="F82" s="8" t="s">
        <v>2451</v>
      </c>
      <c r="G82" s="8" t="s">
        <v>2451</v>
      </c>
    </row>
    <row r="83" spans="1:7" outlineLevel="1" x14ac:dyDescent="0.35">
      <c r="A83" s="8" t="s">
        <v>2451</v>
      </c>
      <c r="B83" s="8" t="s">
        <v>2451</v>
      </c>
      <c r="C83" s="8"/>
      <c r="D83" s="8" t="s">
        <v>2383</v>
      </c>
      <c r="E83" s="8" t="s">
        <v>2451</v>
      </c>
      <c r="F83" s="8" t="s">
        <v>2451</v>
      </c>
      <c r="G83" s="8" t="s">
        <v>2451</v>
      </c>
    </row>
    <row r="84" spans="1:7" x14ac:dyDescent="0.35">
      <c r="A84" s="8" t="s">
        <v>31</v>
      </c>
      <c r="B84" s="8" t="s">
        <v>32</v>
      </c>
      <c r="C84" s="8">
        <v>9</v>
      </c>
      <c r="D84" s="8" t="s">
        <v>2451</v>
      </c>
      <c r="E84" s="8" t="s">
        <v>2451</v>
      </c>
      <c r="F84" s="8" t="s">
        <v>2451</v>
      </c>
      <c r="G84" s="8" t="s">
        <v>2451</v>
      </c>
    </row>
    <row r="85" spans="1:7" outlineLevel="1" x14ac:dyDescent="0.35">
      <c r="A85" s="8" t="s">
        <v>2451</v>
      </c>
      <c r="B85" s="8" t="s">
        <v>2451</v>
      </c>
      <c r="C85" s="8"/>
      <c r="D85" s="8" t="s">
        <v>2373</v>
      </c>
      <c r="E85" s="8" t="s">
        <v>2451</v>
      </c>
      <c r="F85" s="8" t="s">
        <v>2451</v>
      </c>
      <c r="G85" s="8" t="s">
        <v>2451</v>
      </c>
    </row>
    <row r="86" spans="1:7" outlineLevel="1" x14ac:dyDescent="0.35">
      <c r="A86" s="8" t="s">
        <v>2451</v>
      </c>
      <c r="B86" s="8" t="s">
        <v>2451</v>
      </c>
      <c r="C86" s="8"/>
      <c r="D86" s="8" t="s">
        <v>2374</v>
      </c>
      <c r="E86" s="8" t="s">
        <v>2451</v>
      </c>
      <c r="F86" s="8" t="s">
        <v>2451</v>
      </c>
      <c r="G86" s="8" t="s">
        <v>2451</v>
      </c>
    </row>
    <row r="87" spans="1:7" outlineLevel="1" x14ac:dyDescent="0.35">
      <c r="A87" s="8" t="s">
        <v>2451</v>
      </c>
      <c r="B87" s="8" t="s">
        <v>2451</v>
      </c>
      <c r="C87" s="8"/>
      <c r="D87" s="8" t="s">
        <v>2375</v>
      </c>
      <c r="E87" s="8" t="s">
        <v>2451</v>
      </c>
      <c r="F87" s="8" t="s">
        <v>2451</v>
      </c>
      <c r="G87" s="8" t="s">
        <v>2451</v>
      </c>
    </row>
    <row r="88" spans="1:7" outlineLevel="1" x14ac:dyDescent="0.35">
      <c r="A88" s="8" t="s">
        <v>2451</v>
      </c>
      <c r="B88" s="8" t="s">
        <v>2451</v>
      </c>
      <c r="C88" s="8"/>
      <c r="D88" s="8" t="s">
        <v>2376</v>
      </c>
      <c r="E88" s="8" t="s">
        <v>2451</v>
      </c>
      <c r="F88" s="8" t="s">
        <v>2451</v>
      </c>
      <c r="G88" s="8" t="s">
        <v>2451</v>
      </c>
    </row>
    <row r="89" spans="1:7" outlineLevel="1" x14ac:dyDescent="0.35">
      <c r="A89" s="8" t="s">
        <v>2451</v>
      </c>
      <c r="B89" s="8" t="s">
        <v>2451</v>
      </c>
      <c r="C89" s="8"/>
      <c r="D89" s="8" t="s">
        <v>2377</v>
      </c>
      <c r="E89" s="8" t="s">
        <v>2451</v>
      </c>
      <c r="F89" s="8" t="s">
        <v>2451</v>
      </c>
      <c r="G89" s="8" t="s">
        <v>2451</v>
      </c>
    </row>
    <row r="90" spans="1:7" outlineLevel="1" x14ac:dyDescent="0.35">
      <c r="A90" s="8" t="s">
        <v>2451</v>
      </c>
      <c r="B90" s="8" t="s">
        <v>2451</v>
      </c>
      <c r="C90" s="8"/>
      <c r="D90" s="8" t="s">
        <v>2378</v>
      </c>
      <c r="E90" s="8" t="s">
        <v>2451</v>
      </c>
      <c r="F90" s="8" t="s">
        <v>2451</v>
      </c>
      <c r="G90" s="8" t="s">
        <v>2451</v>
      </c>
    </row>
    <row r="91" spans="1:7" outlineLevel="1" x14ac:dyDescent="0.35">
      <c r="A91" s="8" t="s">
        <v>2451</v>
      </c>
      <c r="B91" s="8" t="s">
        <v>2451</v>
      </c>
      <c r="C91" s="8"/>
      <c r="D91" s="8" t="s">
        <v>2379</v>
      </c>
      <c r="E91" s="8" t="s">
        <v>2451</v>
      </c>
      <c r="F91" s="8" t="s">
        <v>2451</v>
      </c>
      <c r="G91" s="8" t="s">
        <v>2451</v>
      </c>
    </row>
    <row r="92" spans="1:7" outlineLevel="1" x14ac:dyDescent="0.35">
      <c r="A92" s="8" t="s">
        <v>2451</v>
      </c>
      <c r="B92" s="8" t="s">
        <v>2451</v>
      </c>
      <c r="C92" s="8"/>
      <c r="D92" s="8" t="s">
        <v>2380</v>
      </c>
      <c r="E92" s="8" t="s">
        <v>2451</v>
      </c>
      <c r="F92" s="8" t="s">
        <v>2451</v>
      </c>
      <c r="G92" s="8" t="s">
        <v>2451</v>
      </c>
    </row>
    <row r="93" spans="1:7" outlineLevel="1" x14ac:dyDescent="0.35">
      <c r="A93" s="8" t="s">
        <v>2451</v>
      </c>
      <c r="B93" s="8" t="s">
        <v>2451</v>
      </c>
      <c r="C93" s="8"/>
      <c r="D93" s="8" t="s">
        <v>2381</v>
      </c>
      <c r="E93" s="8" t="s">
        <v>2451</v>
      </c>
      <c r="F93" s="8" t="s">
        <v>2451</v>
      </c>
      <c r="G93" s="8" t="s">
        <v>2451</v>
      </c>
    </row>
    <row r="94" spans="1:7" x14ac:dyDescent="0.35">
      <c r="A94" s="8" t="s">
        <v>33</v>
      </c>
      <c r="B94" s="8" t="s">
        <v>33</v>
      </c>
      <c r="C94" s="8">
        <v>2</v>
      </c>
      <c r="D94" s="8" t="s">
        <v>2451</v>
      </c>
      <c r="E94" s="8" t="s">
        <v>2451</v>
      </c>
      <c r="F94" s="8" t="s">
        <v>2451</v>
      </c>
      <c r="G94" s="8" t="s">
        <v>2451</v>
      </c>
    </row>
    <row r="95" spans="1:7" outlineLevel="1" x14ac:dyDescent="0.35">
      <c r="A95" s="8" t="s">
        <v>2451</v>
      </c>
      <c r="B95" s="8" t="s">
        <v>2451</v>
      </c>
      <c r="C95" s="8"/>
      <c r="D95" s="8" t="s">
        <v>2371</v>
      </c>
      <c r="E95" s="8" t="s">
        <v>2451</v>
      </c>
      <c r="F95" s="8" t="s">
        <v>2451</v>
      </c>
      <c r="G95" s="8" t="s">
        <v>2451</v>
      </c>
    </row>
    <row r="96" spans="1:7" outlineLevel="1" x14ac:dyDescent="0.35">
      <c r="A96" s="8" t="s">
        <v>2451</v>
      </c>
      <c r="B96" s="8" t="s">
        <v>2451</v>
      </c>
      <c r="C96" s="8"/>
      <c r="D96" s="8" t="s">
        <v>2372</v>
      </c>
      <c r="E96" s="8" t="s">
        <v>2451</v>
      </c>
      <c r="F96" s="8" t="s">
        <v>2451</v>
      </c>
      <c r="G96" s="8" t="s">
        <v>2451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A5EF3-26B8-46E5-841A-76A83DB3290D}">
  <sheetPr codeName="Sheet14"/>
  <dimension ref="B1:C3"/>
  <sheetViews>
    <sheetView topLeftCell="B1" workbookViewId="0">
      <selection activeCell="E11" sqref="E11"/>
    </sheetView>
  </sheetViews>
  <sheetFormatPr defaultRowHeight="14.5" x14ac:dyDescent="0.35"/>
  <cols>
    <col min="2" max="2" width="16.08984375" bestFit="1" customWidth="1"/>
    <col min="5" max="5" width="21.1796875" customWidth="1"/>
    <col min="6" max="6" width="17.453125" customWidth="1"/>
  </cols>
  <sheetData>
    <row r="1" spans="2:3" x14ac:dyDescent="0.35">
      <c r="B1" s="45" t="s">
        <v>2445</v>
      </c>
      <c r="C1" s="45" t="s">
        <v>811</v>
      </c>
    </row>
    <row r="2" spans="2:3" x14ac:dyDescent="0.35">
      <c r="B2" s="46" t="s">
        <v>2446</v>
      </c>
      <c r="C2" s="46" t="s">
        <v>2447</v>
      </c>
    </row>
    <row r="3" spans="2:3" x14ac:dyDescent="0.35">
      <c r="B3" s="46" t="s">
        <v>2448</v>
      </c>
      <c r="C3" s="46">
        <v>76019613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145"/>
  <sheetViews>
    <sheetView zoomScale="81" zoomScaleNormal="100" workbookViewId="0">
      <selection activeCell="B8" sqref="B8"/>
    </sheetView>
  </sheetViews>
  <sheetFormatPr defaultRowHeight="14.5" x14ac:dyDescent="0.35"/>
  <cols>
    <col min="1" max="1" width="7.26953125" style="1" bestFit="1" customWidth="1"/>
    <col min="2" max="2" width="30.453125" customWidth="1"/>
    <col min="3" max="3" width="4.90625" style="1" bestFit="1" customWidth="1"/>
    <col min="4" max="4" width="5.81640625" style="1" customWidth="1"/>
    <col min="5" max="5" width="7.90625" style="5" bestFit="1" customWidth="1"/>
    <col min="6" max="6" width="14.453125" style="5" customWidth="1"/>
    <col min="7" max="7" width="0.81640625" style="7" customWidth="1"/>
    <col min="8" max="8" width="7.26953125" bestFit="1" customWidth="1"/>
    <col min="9" max="9" width="27.81640625" customWidth="1"/>
    <col min="10" max="10" width="4.453125" bestFit="1" customWidth="1"/>
    <col min="11" max="11" width="5.81640625" customWidth="1"/>
    <col min="12" max="12" width="8.81640625" customWidth="1"/>
    <col min="13" max="13" width="29.453125" customWidth="1"/>
    <col min="14" max="14" width="10.1796875" style="7" customWidth="1"/>
    <col min="15" max="15" width="19.7265625" customWidth="1"/>
    <col min="16" max="16" width="24.1796875" customWidth="1"/>
    <col min="17" max="17" width="4" bestFit="1" customWidth="1"/>
    <col min="18" max="18" width="5.7265625" customWidth="1"/>
    <col min="19" max="19" width="7.81640625" bestFit="1" customWidth="1"/>
    <col min="20" max="20" width="12.81640625" bestFit="1" customWidth="1"/>
  </cols>
  <sheetData>
    <row r="1" spans="1:20" ht="15.5" x14ac:dyDescent="0.35">
      <c r="A1" s="53" t="s">
        <v>34</v>
      </c>
      <c r="B1" s="54"/>
      <c r="C1" s="54"/>
      <c r="D1" s="54"/>
      <c r="E1" s="54"/>
      <c r="F1" s="54"/>
      <c r="G1" s="11"/>
      <c r="H1" s="53" t="s">
        <v>35</v>
      </c>
      <c r="I1" s="54"/>
      <c r="J1" s="54"/>
      <c r="K1" s="54"/>
      <c r="L1" s="54"/>
      <c r="M1" s="54"/>
      <c r="N1" s="11"/>
      <c r="O1" s="53" t="s">
        <v>36</v>
      </c>
      <c r="P1" s="54"/>
      <c r="Q1" s="54"/>
      <c r="R1" s="54"/>
      <c r="S1" s="54"/>
      <c r="T1" s="54"/>
    </row>
    <row r="2" spans="1:20" s="1" customFormat="1" ht="15.5" x14ac:dyDescent="0.35">
      <c r="A2" s="17" t="s">
        <v>37</v>
      </c>
      <c r="B2" s="18" t="str">
        <f>CONCATENATE(SUM(D3:D11)," Boards")</f>
        <v>66 Boards</v>
      </c>
      <c r="C2" s="19" t="s">
        <v>2</v>
      </c>
      <c r="D2" s="20" t="s">
        <v>3</v>
      </c>
      <c r="E2" s="19" t="s">
        <v>4</v>
      </c>
      <c r="F2" s="19" t="s">
        <v>38</v>
      </c>
      <c r="G2" s="11"/>
      <c r="H2" s="17" t="s">
        <v>37</v>
      </c>
      <c r="I2" s="18" t="str">
        <f>CONCATENATE(SUM(K3:K37)," Boards")</f>
        <v>204 Boards</v>
      </c>
      <c r="J2" s="19" t="s">
        <v>2</v>
      </c>
      <c r="K2" s="20" t="s">
        <v>3</v>
      </c>
      <c r="L2" s="19" t="s">
        <v>4</v>
      </c>
      <c r="M2" s="19" t="s">
        <v>38</v>
      </c>
      <c r="N2" s="11"/>
      <c r="O2" s="17" t="s">
        <v>37</v>
      </c>
      <c r="P2" s="18" t="str">
        <f>CONCATENATE(SUM(R5:R70)," Boards")</f>
        <v>206 Boards</v>
      </c>
      <c r="Q2" s="19" t="s">
        <v>2</v>
      </c>
      <c r="R2" s="20" t="s">
        <v>3</v>
      </c>
      <c r="S2" s="19" t="s">
        <v>4</v>
      </c>
      <c r="T2" s="19" t="s">
        <v>38</v>
      </c>
    </row>
    <row r="3" spans="1:20" x14ac:dyDescent="0.35">
      <c r="A3" s="8" t="s">
        <v>39</v>
      </c>
      <c r="B3" s="8" t="s">
        <v>40</v>
      </c>
      <c r="C3" s="15">
        <v>10.32</v>
      </c>
      <c r="D3" s="8">
        <v>6</v>
      </c>
      <c r="E3" s="23">
        <f>D3-VLOOKUP(B3,Roaming!C:E,3,FALSE)</f>
        <v>6</v>
      </c>
      <c r="F3" s="13" t="s">
        <v>41</v>
      </c>
      <c r="G3" s="11"/>
      <c r="H3" s="8" t="s">
        <v>42</v>
      </c>
      <c r="I3" s="8" t="s">
        <v>43</v>
      </c>
      <c r="J3" s="15">
        <v>23</v>
      </c>
      <c r="K3" s="8">
        <v>4</v>
      </c>
      <c r="L3" s="23">
        <f>K3-VLOOKUP(I3,Roaming!C:E,3,FALSE)</f>
        <v>3</v>
      </c>
      <c r="M3" s="13" t="s">
        <v>44</v>
      </c>
      <c r="N3" s="11"/>
      <c r="O3" s="8" t="s">
        <v>45</v>
      </c>
      <c r="P3" s="8" t="s">
        <v>46</v>
      </c>
      <c r="Q3" s="15">
        <v>31.47</v>
      </c>
      <c r="R3" s="8">
        <v>4</v>
      </c>
      <c r="S3" s="23">
        <f>R3-VLOOKUP(P3,Roaming!C:E,3,FALSE)</f>
        <v>4</v>
      </c>
      <c r="T3" s="10"/>
    </row>
    <row r="4" spans="1:20" x14ac:dyDescent="0.35">
      <c r="A4" s="8" t="s">
        <v>39</v>
      </c>
      <c r="B4" s="8" t="s">
        <v>47</v>
      </c>
      <c r="C4" s="15">
        <v>10.32</v>
      </c>
      <c r="D4" s="8">
        <v>6</v>
      </c>
      <c r="E4" s="23">
        <f>D4-VLOOKUP(B4,Roaming!C:E,3,FALSE)</f>
        <v>6</v>
      </c>
      <c r="F4" s="13" t="s">
        <v>48</v>
      </c>
      <c r="G4" s="11"/>
      <c r="H4" s="8" t="s">
        <v>49</v>
      </c>
      <c r="I4" s="8" t="s">
        <v>50</v>
      </c>
      <c r="J4" s="15">
        <v>19</v>
      </c>
      <c r="K4" s="8">
        <v>2</v>
      </c>
      <c r="L4" s="23">
        <f>K4-VLOOKUP(I4,Roaming!C:E,3,FALSE)</f>
        <v>2</v>
      </c>
      <c r="M4" s="13" t="s">
        <v>51</v>
      </c>
      <c r="N4" s="11"/>
      <c r="O4" s="8" t="s">
        <v>45</v>
      </c>
      <c r="P4" s="8" t="s">
        <v>52</v>
      </c>
      <c r="Q4" s="15">
        <v>31.47</v>
      </c>
      <c r="R4" s="8">
        <v>6</v>
      </c>
      <c r="S4" s="23">
        <f>R4-VLOOKUP(P4,Roaming!C:E,3,FALSE)</f>
        <v>6</v>
      </c>
      <c r="T4" s="10"/>
    </row>
    <row r="5" spans="1:20" x14ac:dyDescent="0.35">
      <c r="A5" s="8" t="s">
        <v>49</v>
      </c>
      <c r="B5" s="8" t="s">
        <v>53</v>
      </c>
      <c r="C5" s="15">
        <v>10.32</v>
      </c>
      <c r="D5" s="8">
        <v>4</v>
      </c>
      <c r="E5" s="23">
        <f>D5-VLOOKUP(B5,Roaming!C:E,3,FALSE)</f>
        <v>4</v>
      </c>
      <c r="F5" s="13" t="s">
        <v>54</v>
      </c>
      <c r="G5" s="11"/>
      <c r="H5" s="8" t="s">
        <v>55</v>
      </c>
      <c r="I5" s="8" t="s">
        <v>56</v>
      </c>
      <c r="J5" s="15">
        <v>19</v>
      </c>
      <c r="K5" s="8">
        <v>3</v>
      </c>
      <c r="L5" s="23">
        <f>K5-VLOOKUP(I5,Roaming!C:E,3,FALSE)</f>
        <v>3</v>
      </c>
      <c r="M5" s="13" t="s">
        <v>57</v>
      </c>
      <c r="N5" s="11"/>
      <c r="O5" s="8" t="s">
        <v>45</v>
      </c>
      <c r="P5" s="8" t="s">
        <v>58</v>
      </c>
      <c r="Q5" s="15">
        <v>31.47</v>
      </c>
      <c r="R5" s="8">
        <v>6</v>
      </c>
      <c r="S5" s="23">
        <f>R5-VLOOKUP(P5,Roaming!C:E,3,FALSE)</f>
        <v>4</v>
      </c>
      <c r="T5" s="10"/>
    </row>
    <row r="6" spans="1:20" x14ac:dyDescent="0.35">
      <c r="A6" s="8" t="s">
        <v>59</v>
      </c>
      <c r="B6" s="8" t="s">
        <v>60</v>
      </c>
      <c r="C6" s="15">
        <v>10.32</v>
      </c>
      <c r="D6" s="8">
        <v>12</v>
      </c>
      <c r="E6" s="23">
        <f>D6-VLOOKUP(B6,Roaming!C:E,3,FALSE)</f>
        <v>10</v>
      </c>
      <c r="F6" s="13" t="s">
        <v>61</v>
      </c>
      <c r="G6" s="11"/>
      <c r="H6" s="8" t="s">
        <v>55</v>
      </c>
      <c r="I6" s="8" t="s">
        <v>62</v>
      </c>
      <c r="J6" s="15">
        <v>19</v>
      </c>
      <c r="K6" s="8">
        <v>4</v>
      </c>
      <c r="L6" s="23">
        <f>K6-VLOOKUP(I6,Roaming!C:E,3,FALSE)</f>
        <v>4</v>
      </c>
      <c r="M6" s="13" t="s">
        <v>63</v>
      </c>
      <c r="N6" s="11"/>
      <c r="O6" s="8" t="s">
        <v>64</v>
      </c>
      <c r="P6" s="8" t="s">
        <v>65</v>
      </c>
      <c r="Q6" s="15"/>
      <c r="R6" s="8">
        <v>2</v>
      </c>
      <c r="S6" s="23">
        <f>R6-VLOOKUP(P6,Roaming!C:E,3,FALSE)</f>
        <v>2</v>
      </c>
      <c r="T6" s="10"/>
    </row>
    <row r="7" spans="1:20" x14ac:dyDescent="0.35">
      <c r="A7" s="8" t="s">
        <v>66</v>
      </c>
      <c r="B7" s="8" t="s">
        <v>67</v>
      </c>
      <c r="C7" s="15">
        <v>12</v>
      </c>
      <c r="D7" s="8">
        <v>4</v>
      </c>
      <c r="E7" s="23">
        <f>D7-VLOOKUP(B7,Roaming!C:E,3,FALSE)</f>
        <v>4</v>
      </c>
      <c r="F7" s="13" t="s">
        <v>68</v>
      </c>
      <c r="G7" s="11"/>
      <c r="H7" s="8" t="s">
        <v>55</v>
      </c>
      <c r="I7" s="8" t="s">
        <v>69</v>
      </c>
      <c r="J7" s="15">
        <v>23</v>
      </c>
      <c r="K7" s="8">
        <v>6</v>
      </c>
      <c r="L7" s="23">
        <f>K7-VLOOKUP(I7,Roaming!C:E,3,FALSE)</f>
        <v>6</v>
      </c>
      <c r="M7" s="13" t="s">
        <v>70</v>
      </c>
      <c r="N7" s="11"/>
      <c r="O7" s="8" t="s">
        <v>64</v>
      </c>
      <c r="P7" s="8" t="s">
        <v>71</v>
      </c>
      <c r="Q7" s="15"/>
      <c r="R7" s="8">
        <v>2</v>
      </c>
      <c r="S7" s="23">
        <f>R7-VLOOKUP(P7,Roaming!C:E,3,FALSE)</f>
        <v>2</v>
      </c>
      <c r="T7" s="10"/>
    </row>
    <row r="8" spans="1:20" x14ac:dyDescent="0.35">
      <c r="A8" s="8" t="s">
        <v>72</v>
      </c>
      <c r="B8" s="8" t="s">
        <v>73</v>
      </c>
      <c r="C8" s="15">
        <v>10.32</v>
      </c>
      <c r="D8" s="8">
        <v>4</v>
      </c>
      <c r="E8" s="23">
        <f>D8-VLOOKUP(B8,Roaming!C:E,3,FALSE)</f>
        <v>4</v>
      </c>
      <c r="F8" s="13" t="s">
        <v>74</v>
      </c>
      <c r="G8" s="11"/>
      <c r="H8" s="12" t="s">
        <v>55</v>
      </c>
      <c r="I8" s="8" t="s">
        <v>75</v>
      </c>
      <c r="J8" s="21">
        <v>23</v>
      </c>
      <c r="K8" s="8">
        <v>4</v>
      </c>
      <c r="L8" s="23">
        <f>K8-VLOOKUP(I8,Roaming!C:E,3,FALSE)</f>
        <v>4</v>
      </c>
      <c r="M8" s="14" t="s">
        <v>76</v>
      </c>
      <c r="N8" s="11"/>
      <c r="O8" s="8" t="s">
        <v>64</v>
      </c>
      <c r="P8" s="8" t="s">
        <v>77</v>
      </c>
      <c r="Q8" s="15"/>
      <c r="R8" s="8">
        <v>2</v>
      </c>
      <c r="S8" s="23">
        <f>R8-VLOOKUP(P8,Roaming!C:E,3,FALSE)</f>
        <v>2</v>
      </c>
      <c r="T8" s="10"/>
    </row>
    <row r="9" spans="1:20" x14ac:dyDescent="0.35">
      <c r="A9" s="8" t="s">
        <v>72</v>
      </c>
      <c r="B9" s="8" t="s">
        <v>78</v>
      </c>
      <c r="C9" s="15">
        <v>10.32</v>
      </c>
      <c r="D9" s="8">
        <v>13</v>
      </c>
      <c r="E9" s="23">
        <f>D9-VLOOKUP(B9,Roaming!C:E,3,FALSE)</f>
        <v>13</v>
      </c>
      <c r="F9" s="13" t="s">
        <v>79</v>
      </c>
      <c r="G9" s="11"/>
      <c r="H9" s="8" t="s">
        <v>55</v>
      </c>
      <c r="I9" s="8" t="s">
        <v>80</v>
      </c>
      <c r="J9" s="15">
        <v>19</v>
      </c>
      <c r="K9" s="8">
        <v>3</v>
      </c>
      <c r="L9" s="23">
        <f>K9-VLOOKUP(I9,Roaming!C:E,3,FALSE)</f>
        <v>3</v>
      </c>
      <c r="M9" s="13" t="s">
        <v>81</v>
      </c>
      <c r="N9" s="11"/>
      <c r="O9" s="8" t="s">
        <v>64</v>
      </c>
      <c r="P9" s="8" t="s">
        <v>82</v>
      </c>
      <c r="Q9" s="15"/>
      <c r="R9" s="8">
        <v>2</v>
      </c>
      <c r="S9" s="23">
        <f>R9-VLOOKUP(P9,Roaming!C:E,3,FALSE)</f>
        <v>2</v>
      </c>
      <c r="T9" s="10"/>
    </row>
    <row r="10" spans="1:20" x14ac:dyDescent="0.35">
      <c r="A10" s="8" t="s">
        <v>83</v>
      </c>
      <c r="B10" s="8" t="s">
        <v>84</v>
      </c>
      <c r="C10" s="15">
        <v>10.32</v>
      </c>
      <c r="D10" s="8">
        <v>7</v>
      </c>
      <c r="E10" s="23">
        <f>D10-VLOOKUP(B10,Roaming!C:E,3,FALSE)</f>
        <v>7</v>
      </c>
      <c r="F10" s="13" t="s">
        <v>85</v>
      </c>
      <c r="G10" s="11"/>
      <c r="H10" s="8" t="s">
        <v>86</v>
      </c>
      <c r="I10" s="8" t="s">
        <v>87</v>
      </c>
      <c r="J10" s="15">
        <v>19</v>
      </c>
      <c r="K10" s="8">
        <v>2</v>
      </c>
      <c r="L10" s="23">
        <f>K10-VLOOKUP(I10,Roaming!C:E,3,FALSE)</f>
        <v>2</v>
      </c>
      <c r="M10" s="13" t="s">
        <v>88</v>
      </c>
      <c r="N10" s="11"/>
      <c r="O10" s="8" t="s">
        <v>64</v>
      </c>
      <c r="P10" s="8" t="s">
        <v>89</v>
      </c>
      <c r="Q10" s="15"/>
      <c r="R10" s="8">
        <v>2</v>
      </c>
      <c r="S10" s="23">
        <f>R10-VLOOKUP(P10,Roaming!C:E,3,FALSE)</f>
        <v>2</v>
      </c>
      <c r="T10" s="10"/>
    </row>
    <row r="11" spans="1:20" x14ac:dyDescent="0.35">
      <c r="A11" s="8" t="s">
        <v>83</v>
      </c>
      <c r="B11" s="8" t="s">
        <v>90</v>
      </c>
      <c r="C11" s="15">
        <v>10.32</v>
      </c>
      <c r="D11" s="8">
        <v>10</v>
      </c>
      <c r="E11" s="23">
        <f>D11-VLOOKUP(B11,Roaming!C:E,3,FALSE)</f>
        <v>9</v>
      </c>
      <c r="F11" s="13" t="s">
        <v>91</v>
      </c>
      <c r="G11" s="11"/>
      <c r="H11" s="8" t="s">
        <v>86</v>
      </c>
      <c r="I11" s="8" t="s">
        <v>92</v>
      </c>
      <c r="J11" s="15">
        <v>23</v>
      </c>
      <c r="K11" s="8">
        <v>3</v>
      </c>
      <c r="L11" s="23">
        <f>K11-VLOOKUP(I11,Roaming!C:E,3,FALSE)</f>
        <v>3</v>
      </c>
      <c r="M11" s="13" t="s">
        <v>93</v>
      </c>
      <c r="N11" s="11"/>
      <c r="O11" s="8" t="s">
        <v>94</v>
      </c>
      <c r="P11" s="8" t="s">
        <v>95</v>
      </c>
      <c r="Q11" s="15">
        <v>36</v>
      </c>
      <c r="R11" s="8">
        <v>3</v>
      </c>
      <c r="S11" s="23">
        <f>R11-VLOOKUP(P11,Roaming!C:E,3,FALSE)</f>
        <v>3</v>
      </c>
      <c r="T11" s="10"/>
    </row>
    <row r="12" spans="1:20" x14ac:dyDescent="0.35">
      <c r="G12" s="11"/>
      <c r="H12" s="29" t="s">
        <v>86</v>
      </c>
      <c r="I12" s="8" t="s">
        <v>96</v>
      </c>
      <c r="J12" s="28">
        <v>23</v>
      </c>
      <c r="K12" s="29">
        <v>6</v>
      </c>
      <c r="L12" s="30">
        <f>K12-VLOOKUP(I12,Roaming!C:E,3,FALSE)</f>
        <v>6</v>
      </c>
      <c r="M12" s="13" t="s">
        <v>97</v>
      </c>
      <c r="N12" s="11"/>
      <c r="O12" s="8" t="s">
        <v>94</v>
      </c>
      <c r="P12" s="8" t="s">
        <v>98</v>
      </c>
      <c r="Q12" s="15">
        <v>36</v>
      </c>
      <c r="R12" s="8">
        <v>2</v>
      </c>
      <c r="S12" s="23">
        <f>R12-VLOOKUP(P12,Roaming!C:E,3,FALSE)</f>
        <v>2</v>
      </c>
      <c r="T12" s="10"/>
    </row>
    <row r="13" spans="1:20" ht="15.5" x14ac:dyDescent="0.35">
      <c r="A13" s="53" t="s">
        <v>99</v>
      </c>
      <c r="B13" s="54"/>
      <c r="C13" s="54"/>
      <c r="D13" s="54"/>
      <c r="E13" s="54"/>
      <c r="F13" s="54"/>
      <c r="G13" s="11"/>
      <c r="H13" s="8" t="s">
        <v>86</v>
      </c>
      <c r="I13" s="8" t="s">
        <v>100</v>
      </c>
      <c r="J13" s="15">
        <v>23</v>
      </c>
      <c r="K13" s="8">
        <v>10</v>
      </c>
      <c r="L13" s="23">
        <f>K13-VLOOKUP(I13,Roaming!C:E,3,FALSE)</f>
        <v>10</v>
      </c>
      <c r="M13" s="13" t="s">
        <v>101</v>
      </c>
      <c r="N13" s="11"/>
      <c r="O13" s="8" t="s">
        <v>94</v>
      </c>
      <c r="P13" s="8" t="s">
        <v>102</v>
      </c>
      <c r="Q13" s="15"/>
      <c r="R13" s="8">
        <v>4</v>
      </c>
      <c r="S13" s="23">
        <f>R13-VLOOKUP(P13,Roaming!C:E,3,FALSE)</f>
        <v>4</v>
      </c>
      <c r="T13" s="10"/>
    </row>
    <row r="14" spans="1:20" ht="15.5" x14ac:dyDescent="0.35">
      <c r="A14" s="17" t="s">
        <v>37</v>
      </c>
      <c r="B14" s="18" t="str">
        <f>CONCATENATE(SUM(D20:D71)," Boards")</f>
        <v>349 Boards</v>
      </c>
      <c r="C14" s="19" t="s">
        <v>2</v>
      </c>
      <c r="D14" s="20" t="s">
        <v>3</v>
      </c>
      <c r="E14" s="19" t="s">
        <v>4</v>
      </c>
      <c r="F14" s="19" t="s">
        <v>38</v>
      </c>
      <c r="G14" s="11"/>
      <c r="H14" s="8" t="s">
        <v>103</v>
      </c>
      <c r="I14" s="8" t="s">
        <v>104</v>
      </c>
      <c r="J14" s="15">
        <v>28.75</v>
      </c>
      <c r="K14" s="8">
        <v>4</v>
      </c>
      <c r="L14" s="23">
        <f>K14-VLOOKUP(I14,Roaming!C:E,3,FALSE)</f>
        <v>4</v>
      </c>
      <c r="M14" s="13" t="s">
        <v>105</v>
      </c>
      <c r="N14" s="11"/>
      <c r="O14" s="8" t="s">
        <v>94</v>
      </c>
      <c r="P14" s="8" t="s">
        <v>106</v>
      </c>
      <c r="Q14" s="15">
        <v>15</v>
      </c>
      <c r="R14" s="8">
        <v>2</v>
      </c>
      <c r="S14" s="23">
        <f>R14-VLOOKUP(P14,Roaming!C:E,3,FALSE)</f>
        <v>2</v>
      </c>
      <c r="T14" s="10"/>
    </row>
    <row r="15" spans="1:20" x14ac:dyDescent="0.35">
      <c r="A15" s="29" t="s">
        <v>107</v>
      </c>
      <c r="B15" s="8" t="s">
        <v>108</v>
      </c>
      <c r="C15" s="15">
        <v>10.32</v>
      </c>
      <c r="D15" s="29">
        <v>11</v>
      </c>
      <c r="E15" s="23">
        <f>D15-VLOOKUP(B15,Roaming!C:E,3,FALSE)</f>
        <v>11</v>
      </c>
      <c r="F15" s="13" t="s">
        <v>109</v>
      </c>
      <c r="G15" s="11"/>
      <c r="H15" s="8" t="s">
        <v>103</v>
      </c>
      <c r="I15" s="8" t="s">
        <v>110</v>
      </c>
      <c r="J15" s="15">
        <v>28.75</v>
      </c>
      <c r="K15" s="8">
        <v>6</v>
      </c>
      <c r="L15" s="23">
        <f>K15-VLOOKUP(I15,Roaming!C:E,3,FALSE)</f>
        <v>4</v>
      </c>
      <c r="M15" s="13" t="s">
        <v>111</v>
      </c>
      <c r="N15" s="11"/>
      <c r="O15" s="8" t="s">
        <v>94</v>
      </c>
      <c r="P15" s="8" t="s">
        <v>112</v>
      </c>
      <c r="Q15" s="15">
        <v>15</v>
      </c>
      <c r="R15" s="8">
        <v>2</v>
      </c>
      <c r="S15" s="23">
        <f>R15-VLOOKUP(P15,Roaming!C:E,3,FALSE)</f>
        <v>2</v>
      </c>
      <c r="T15" s="10"/>
    </row>
    <row r="16" spans="1:20" x14ac:dyDescent="0.35">
      <c r="A16" s="29" t="s">
        <v>107</v>
      </c>
      <c r="B16" s="8" t="s">
        <v>113</v>
      </c>
      <c r="C16" s="15">
        <v>10.4</v>
      </c>
      <c r="D16" s="29">
        <v>6</v>
      </c>
      <c r="E16" s="23">
        <f>D16-VLOOKUP(B16,Roaming!C:E,3,FALSE)</f>
        <v>6</v>
      </c>
      <c r="F16" s="13" t="s">
        <v>114</v>
      </c>
      <c r="G16" s="11"/>
      <c r="H16" s="8" t="s">
        <v>103</v>
      </c>
      <c r="I16" s="8" t="s">
        <v>115</v>
      </c>
      <c r="J16" s="15">
        <v>28.75</v>
      </c>
      <c r="K16" s="8">
        <v>2</v>
      </c>
      <c r="L16" s="23">
        <f>K16-VLOOKUP(I16,Roaming!C:E,3,FALSE)</f>
        <v>2</v>
      </c>
      <c r="M16" s="13" t="s">
        <v>111</v>
      </c>
      <c r="N16" s="11"/>
      <c r="O16" s="8" t="s">
        <v>94</v>
      </c>
      <c r="P16" s="8" t="s">
        <v>116</v>
      </c>
      <c r="Q16" s="15">
        <v>15</v>
      </c>
      <c r="R16" s="8">
        <v>6</v>
      </c>
      <c r="S16" s="23">
        <f>R16-VLOOKUP(P16,Roaming!C:E,3,FALSE)</f>
        <v>6</v>
      </c>
      <c r="T16" s="10"/>
    </row>
    <row r="17" spans="1:20" x14ac:dyDescent="0.35">
      <c r="A17" s="29" t="s">
        <v>117</v>
      </c>
      <c r="B17" s="8" t="s">
        <v>118</v>
      </c>
      <c r="C17" s="15">
        <v>10.4</v>
      </c>
      <c r="D17" s="29">
        <v>4</v>
      </c>
      <c r="E17" s="23">
        <f>D17-VLOOKUP(B17,Roaming!C:E,3,FALSE)</f>
        <v>4</v>
      </c>
      <c r="F17" s="13" t="s">
        <v>119</v>
      </c>
      <c r="G17" s="11"/>
      <c r="H17" s="8" t="s">
        <v>103</v>
      </c>
      <c r="I17" s="8" t="s">
        <v>120</v>
      </c>
      <c r="J17" s="15">
        <v>28.75</v>
      </c>
      <c r="K17" s="8">
        <v>14</v>
      </c>
      <c r="L17" s="23">
        <f>K17-VLOOKUP(I17,Roaming!C:E,3,FALSE)</f>
        <v>14</v>
      </c>
      <c r="M17" s="13" t="s">
        <v>111</v>
      </c>
      <c r="N17" s="11"/>
      <c r="O17" s="8" t="s">
        <v>94</v>
      </c>
      <c r="P17" s="8" t="s">
        <v>121</v>
      </c>
      <c r="Q17" s="15">
        <v>15</v>
      </c>
      <c r="R17" s="8">
        <v>6</v>
      </c>
      <c r="S17" s="23">
        <f>R17-VLOOKUP(P17,Roaming!C:E,3,FALSE)</f>
        <v>6</v>
      </c>
      <c r="T17" s="10"/>
    </row>
    <row r="18" spans="1:20" x14ac:dyDescent="0.35">
      <c r="A18" s="29" t="s">
        <v>107</v>
      </c>
      <c r="B18" s="8" t="s">
        <v>122</v>
      </c>
      <c r="C18" s="15">
        <v>10.4</v>
      </c>
      <c r="D18" s="29">
        <v>4</v>
      </c>
      <c r="E18" s="23">
        <f>D18-VLOOKUP(B18,Roaming!C:E,3,FALSE)</f>
        <v>4</v>
      </c>
      <c r="F18" s="13" t="s">
        <v>123</v>
      </c>
      <c r="G18" s="11"/>
      <c r="H18" s="12" t="s">
        <v>124</v>
      </c>
      <c r="I18" s="8" t="s">
        <v>125</v>
      </c>
      <c r="J18" s="28">
        <v>29</v>
      </c>
      <c r="K18" s="12">
        <v>8</v>
      </c>
      <c r="L18" s="23">
        <f>K18-VLOOKUP(I18,Roaming!C:E,3,FALSE)</f>
        <v>8</v>
      </c>
      <c r="M18" s="14" t="s">
        <v>126</v>
      </c>
      <c r="N18" s="11"/>
      <c r="O18" s="8" t="s">
        <v>94</v>
      </c>
      <c r="P18" s="8" t="s">
        <v>127</v>
      </c>
      <c r="Q18" s="15">
        <v>21</v>
      </c>
      <c r="R18" s="8">
        <v>3</v>
      </c>
      <c r="S18" s="23">
        <f>R18-VLOOKUP(P18,Roaming!C:E,3,FALSE)</f>
        <v>3</v>
      </c>
      <c r="T18" s="10"/>
    </row>
    <row r="19" spans="1:20" x14ac:dyDescent="0.35">
      <c r="A19" s="29" t="s">
        <v>128</v>
      </c>
      <c r="B19" s="8" t="s">
        <v>129</v>
      </c>
      <c r="C19" s="15"/>
      <c r="D19" s="29">
        <v>3</v>
      </c>
      <c r="E19" s="23">
        <f>D19-VLOOKUP(B19,Roaming!C:E,3,FALSE)</f>
        <v>3</v>
      </c>
      <c r="F19" s="13" t="s">
        <v>130</v>
      </c>
      <c r="G19" s="11"/>
      <c r="H19" s="8" t="s">
        <v>124</v>
      </c>
      <c r="I19" s="33" t="s">
        <v>131</v>
      </c>
      <c r="J19" s="15">
        <v>23</v>
      </c>
      <c r="K19" s="8">
        <v>2</v>
      </c>
      <c r="L19" s="23">
        <f>K19-VLOOKUP(I19,Roaming!C:E,3,FALSE)</f>
        <v>0</v>
      </c>
      <c r="M19" s="13" t="s">
        <v>132</v>
      </c>
      <c r="N19" s="11"/>
      <c r="O19" s="8" t="s">
        <v>133</v>
      </c>
      <c r="P19" s="8" t="s">
        <v>134</v>
      </c>
      <c r="Q19" s="15"/>
      <c r="R19" s="8">
        <v>1</v>
      </c>
      <c r="S19" s="23">
        <f>R19-VLOOKUP(P19,Roaming!C:E,3,FALSE)</f>
        <v>1</v>
      </c>
      <c r="T19" s="10"/>
    </row>
    <row r="20" spans="1:20" x14ac:dyDescent="0.35">
      <c r="A20" s="8" t="s">
        <v>39</v>
      </c>
      <c r="B20" s="8" t="s">
        <v>135</v>
      </c>
      <c r="C20" s="15">
        <v>10.32</v>
      </c>
      <c r="D20" s="8">
        <v>6</v>
      </c>
      <c r="E20" s="23">
        <f>D20-VLOOKUP(B20,Roaming!C:E,3,FALSE)</f>
        <v>4</v>
      </c>
      <c r="F20" s="13" t="s">
        <v>136</v>
      </c>
      <c r="G20" s="11"/>
      <c r="H20" s="8" t="s">
        <v>124</v>
      </c>
      <c r="I20" s="8" t="s">
        <v>137</v>
      </c>
      <c r="J20" s="15">
        <v>0</v>
      </c>
      <c r="K20" s="8">
        <v>8</v>
      </c>
      <c r="L20" s="23">
        <f>K20-VLOOKUP(I20,Roaming!C:E,3,FALSE)</f>
        <v>7</v>
      </c>
      <c r="M20" s="13" t="s">
        <v>132</v>
      </c>
      <c r="N20" s="11"/>
      <c r="O20" s="8" t="s">
        <v>138</v>
      </c>
      <c r="P20" s="8" t="s">
        <v>139</v>
      </c>
      <c r="Q20" s="15">
        <v>37</v>
      </c>
      <c r="R20" s="8">
        <v>2</v>
      </c>
      <c r="S20" s="23">
        <f>R20-VLOOKUP(P20,Roaming!C:E,3,FALSE)</f>
        <v>2</v>
      </c>
      <c r="T20" s="10"/>
    </row>
    <row r="21" spans="1:20" x14ac:dyDescent="0.35">
      <c r="A21" s="8" t="s">
        <v>39</v>
      </c>
      <c r="B21" s="8" t="s">
        <v>140</v>
      </c>
      <c r="C21" s="15">
        <v>10.32</v>
      </c>
      <c r="D21" s="8">
        <v>3</v>
      </c>
      <c r="E21" s="23">
        <f>D21-VLOOKUP(B21,Roaming!C:E,3,FALSE)</f>
        <v>3</v>
      </c>
      <c r="F21" s="13" t="s">
        <v>141</v>
      </c>
      <c r="G21" s="11"/>
      <c r="H21" s="8" t="s">
        <v>124</v>
      </c>
      <c r="I21" s="8" t="s">
        <v>142</v>
      </c>
      <c r="J21" s="15">
        <v>29</v>
      </c>
      <c r="K21" s="8">
        <v>8</v>
      </c>
      <c r="L21" s="23">
        <f>K21-VLOOKUP(I21,Roaming!C:E,3,FALSE)</f>
        <v>8</v>
      </c>
      <c r="M21" s="13" t="s">
        <v>143</v>
      </c>
      <c r="N21" s="11"/>
      <c r="O21" s="8" t="s">
        <v>133</v>
      </c>
      <c r="P21" s="8" t="s">
        <v>144</v>
      </c>
      <c r="Q21" s="15">
        <v>18.8</v>
      </c>
      <c r="R21" s="8">
        <v>3</v>
      </c>
      <c r="S21" s="23">
        <f>R21-VLOOKUP(P21,Roaming!C:E,3,FALSE)</f>
        <v>3</v>
      </c>
      <c r="T21" s="10"/>
    </row>
    <row r="22" spans="1:20" x14ac:dyDescent="0.35">
      <c r="A22" s="8" t="s">
        <v>39</v>
      </c>
      <c r="B22" s="8" t="s">
        <v>145</v>
      </c>
      <c r="C22" s="15">
        <v>10.32</v>
      </c>
      <c r="D22" s="8">
        <v>8</v>
      </c>
      <c r="E22" s="23">
        <f>D22-VLOOKUP(B22,Roaming!C:E,3,FALSE)</f>
        <v>7</v>
      </c>
      <c r="F22" s="13" t="s">
        <v>146</v>
      </c>
      <c r="G22" s="11"/>
      <c r="H22" s="8" t="s">
        <v>124</v>
      </c>
      <c r="I22" s="8" t="s">
        <v>147</v>
      </c>
      <c r="J22" s="15">
        <v>27</v>
      </c>
      <c r="K22" s="8">
        <v>10</v>
      </c>
      <c r="L22" s="23">
        <f>K22-VLOOKUP(I22,Roaming!C:E,3,FALSE)</f>
        <v>7</v>
      </c>
      <c r="M22" s="13" t="s">
        <v>148</v>
      </c>
      <c r="N22" s="11"/>
      <c r="O22" s="8" t="s">
        <v>149</v>
      </c>
      <c r="P22" s="8" t="s">
        <v>150</v>
      </c>
      <c r="Q22" s="15"/>
      <c r="R22" s="8">
        <v>2</v>
      </c>
      <c r="S22" s="23">
        <f>R22-VLOOKUP(P22,Roaming!C:E,3,FALSE)</f>
        <v>2</v>
      </c>
      <c r="T22" s="10"/>
    </row>
    <row r="23" spans="1:20" x14ac:dyDescent="0.35">
      <c r="A23" s="8" t="s">
        <v>39</v>
      </c>
      <c r="B23" s="8" t="s">
        <v>151</v>
      </c>
      <c r="C23" s="15">
        <v>10.32</v>
      </c>
      <c r="D23" s="8">
        <v>7</v>
      </c>
      <c r="E23" s="23">
        <f>D23-VLOOKUP(B23,Roaming!C:E,3,FALSE)</f>
        <v>6</v>
      </c>
      <c r="F23" s="13" t="s">
        <v>152</v>
      </c>
      <c r="G23" s="11"/>
      <c r="H23" s="8" t="s">
        <v>124</v>
      </c>
      <c r="I23" s="8" t="s">
        <v>153</v>
      </c>
      <c r="J23" s="15">
        <v>29</v>
      </c>
      <c r="K23" s="8">
        <v>4</v>
      </c>
      <c r="L23" s="23">
        <f>K23-VLOOKUP(I23,Roaming!C:E,3,FALSE)</f>
        <v>3</v>
      </c>
      <c r="M23" s="13" t="s">
        <v>148</v>
      </c>
      <c r="N23" s="11"/>
      <c r="O23" s="8" t="s">
        <v>154</v>
      </c>
      <c r="P23" s="8" t="s">
        <v>155</v>
      </c>
      <c r="Q23" s="15"/>
      <c r="R23" s="8">
        <v>4</v>
      </c>
      <c r="S23" s="23">
        <f>R23-VLOOKUP(P23,Roaming!C:E,3,FALSE)</f>
        <v>4</v>
      </c>
      <c r="T23" s="10"/>
    </row>
    <row r="24" spans="1:20" x14ac:dyDescent="0.35">
      <c r="A24" s="8" t="s">
        <v>156</v>
      </c>
      <c r="B24" s="8" t="s">
        <v>157</v>
      </c>
      <c r="C24" s="15">
        <v>10.32</v>
      </c>
      <c r="D24" s="8">
        <v>7</v>
      </c>
      <c r="E24" s="23">
        <f>D24-VLOOKUP(B24,Roaming!C:E,3,FALSE)</f>
        <v>6</v>
      </c>
      <c r="F24" s="13" t="s">
        <v>158</v>
      </c>
      <c r="G24" s="11"/>
      <c r="H24" s="8" t="s">
        <v>124</v>
      </c>
      <c r="I24" s="8" t="s">
        <v>159</v>
      </c>
      <c r="J24" s="15">
        <v>29</v>
      </c>
      <c r="K24" s="8">
        <v>6</v>
      </c>
      <c r="L24" s="23">
        <f>K24-VLOOKUP(I24,Roaming!C:E,3,FALSE)</f>
        <v>5</v>
      </c>
      <c r="M24" s="13" t="s">
        <v>160</v>
      </c>
      <c r="N24" s="11"/>
      <c r="O24" s="8" t="s">
        <v>154</v>
      </c>
      <c r="P24" s="8" t="s">
        <v>161</v>
      </c>
      <c r="Q24" s="15">
        <v>17.5</v>
      </c>
      <c r="R24" s="8">
        <v>3</v>
      </c>
      <c r="S24" s="23">
        <f>R24-VLOOKUP(P24,Roaming!C:E,3,FALSE)</f>
        <v>3</v>
      </c>
      <c r="T24" s="10"/>
    </row>
    <row r="25" spans="1:20" x14ac:dyDescent="0.35">
      <c r="A25" s="8" t="s">
        <v>49</v>
      </c>
      <c r="B25" s="8" t="s">
        <v>162</v>
      </c>
      <c r="C25" s="15">
        <v>10.32</v>
      </c>
      <c r="D25" s="8">
        <v>5</v>
      </c>
      <c r="E25" s="23">
        <f>D25-VLOOKUP(B25,Roaming!C:E,3,FALSE)</f>
        <v>4</v>
      </c>
      <c r="F25" s="13" t="s">
        <v>163</v>
      </c>
      <c r="G25" s="11"/>
      <c r="H25" s="8" t="s">
        <v>124</v>
      </c>
      <c r="I25" s="8" t="s">
        <v>164</v>
      </c>
      <c r="J25" s="15">
        <v>29</v>
      </c>
      <c r="K25" s="8">
        <v>4</v>
      </c>
      <c r="L25" s="23">
        <f>K25-VLOOKUP(I25,Roaming!C:E,3,FALSE)</f>
        <v>3</v>
      </c>
      <c r="M25" s="13" t="s">
        <v>160</v>
      </c>
      <c r="N25" s="11"/>
      <c r="O25" s="8" t="s">
        <v>154</v>
      </c>
      <c r="P25" s="8" t="s">
        <v>165</v>
      </c>
      <c r="Q25" s="22"/>
      <c r="R25" s="8">
        <v>6</v>
      </c>
      <c r="S25" s="23">
        <f>R25-VLOOKUP(P25,Roaming!C:E,3,FALSE)</f>
        <v>6</v>
      </c>
      <c r="T25" s="10"/>
    </row>
    <row r="26" spans="1:20" x14ac:dyDescent="0.35">
      <c r="A26" s="8" t="s">
        <v>49</v>
      </c>
      <c r="B26" s="8" t="s">
        <v>166</v>
      </c>
      <c r="C26" s="15">
        <v>10.32</v>
      </c>
      <c r="D26" s="8">
        <v>4</v>
      </c>
      <c r="E26" s="23">
        <f>D26-VLOOKUP(B26,Roaming!C:E,3,FALSE)</f>
        <v>4</v>
      </c>
      <c r="F26" s="13" t="s">
        <v>167</v>
      </c>
      <c r="G26" s="11"/>
      <c r="H26" s="8" t="s">
        <v>124</v>
      </c>
      <c r="I26" s="8" t="s">
        <v>168</v>
      </c>
      <c r="J26" s="15">
        <v>29</v>
      </c>
      <c r="K26" s="8">
        <v>10</v>
      </c>
      <c r="L26" s="23">
        <f>K26-VLOOKUP(I26,Roaming!C:E,3,FALSE)</f>
        <v>8</v>
      </c>
      <c r="M26" s="13" t="s">
        <v>169</v>
      </c>
      <c r="N26" s="11"/>
      <c r="O26" s="8" t="s">
        <v>64</v>
      </c>
      <c r="P26" s="44" t="s">
        <v>170</v>
      </c>
      <c r="Q26" s="15"/>
      <c r="R26" s="8">
        <v>7</v>
      </c>
      <c r="S26" s="23">
        <f>R26-VLOOKUP(P26,Roaming!C:E,3,FALSE)</f>
        <v>7</v>
      </c>
      <c r="T26" s="10"/>
    </row>
    <row r="27" spans="1:20" x14ac:dyDescent="0.35">
      <c r="A27" s="8" t="s">
        <v>49</v>
      </c>
      <c r="B27" s="8" t="s">
        <v>171</v>
      </c>
      <c r="C27" s="15">
        <v>10.32</v>
      </c>
      <c r="D27" s="8">
        <v>4</v>
      </c>
      <c r="E27" s="23">
        <f>D27-VLOOKUP(B27,Roaming!C:E,3,FALSE)</f>
        <v>4</v>
      </c>
      <c r="F27" s="13" t="s">
        <v>172</v>
      </c>
      <c r="G27" s="11"/>
      <c r="H27" s="8" t="s">
        <v>124</v>
      </c>
      <c r="I27" s="8" t="s">
        <v>173</v>
      </c>
      <c r="J27" s="15">
        <v>42</v>
      </c>
      <c r="K27" s="8">
        <v>11</v>
      </c>
      <c r="L27" s="23">
        <f>K27-VLOOKUP(I27,Roaming!C:E,3,FALSE)</f>
        <v>11</v>
      </c>
      <c r="M27" s="13" t="s">
        <v>174</v>
      </c>
      <c r="N27" s="11"/>
      <c r="O27" s="8" t="s">
        <v>64</v>
      </c>
      <c r="P27" s="8" t="s">
        <v>175</v>
      </c>
      <c r="Q27" s="15"/>
      <c r="R27" s="8">
        <v>4</v>
      </c>
      <c r="S27" s="23">
        <f>R27-VLOOKUP(P27,Roaming!C:E,3,FALSE)</f>
        <v>3</v>
      </c>
      <c r="T27" s="10"/>
    </row>
    <row r="28" spans="1:20" x14ac:dyDescent="0.35">
      <c r="A28" s="8" t="s">
        <v>55</v>
      </c>
      <c r="B28" s="8" t="s">
        <v>176</v>
      </c>
      <c r="C28" s="15">
        <v>13</v>
      </c>
      <c r="D28" s="8">
        <v>10</v>
      </c>
      <c r="E28" s="23">
        <f>D28-VLOOKUP(B28,Roaming!C:E,3,FALSE)</f>
        <v>8</v>
      </c>
      <c r="F28" s="13" t="s">
        <v>177</v>
      </c>
      <c r="G28" s="11"/>
      <c r="H28" s="8" t="s">
        <v>83</v>
      </c>
      <c r="I28" s="8" t="s">
        <v>178</v>
      </c>
      <c r="J28" s="15">
        <v>19</v>
      </c>
      <c r="K28" s="8">
        <v>4</v>
      </c>
      <c r="L28" s="23">
        <f>K28-VLOOKUP(I28,Roaming!C:E,3,FALSE)</f>
        <v>4</v>
      </c>
      <c r="M28" s="13" t="s">
        <v>179</v>
      </c>
      <c r="N28" s="11"/>
      <c r="O28" s="8" t="s">
        <v>64</v>
      </c>
      <c r="P28" s="8" t="s">
        <v>180</v>
      </c>
      <c r="Q28" s="15"/>
      <c r="R28" s="8">
        <v>4</v>
      </c>
      <c r="S28" s="23">
        <f>R28-VLOOKUP(P28,Roaming!C:E,3,FALSE)</f>
        <v>4</v>
      </c>
      <c r="T28" s="10"/>
    </row>
    <row r="29" spans="1:20" x14ac:dyDescent="0.35">
      <c r="A29" s="8" t="s">
        <v>55</v>
      </c>
      <c r="B29" s="8" t="s">
        <v>181</v>
      </c>
      <c r="C29" s="15">
        <v>13</v>
      </c>
      <c r="D29" s="8">
        <v>4</v>
      </c>
      <c r="E29" s="23">
        <f>D29-VLOOKUP(B29,Roaming!C:E,3,FALSE)</f>
        <v>4</v>
      </c>
      <c r="F29" s="13" t="s">
        <v>182</v>
      </c>
      <c r="G29" s="11"/>
      <c r="H29" s="8" t="s">
        <v>83</v>
      </c>
      <c r="I29" s="8" t="s">
        <v>183</v>
      </c>
      <c r="J29" s="15">
        <v>20</v>
      </c>
      <c r="K29" s="8">
        <v>6</v>
      </c>
      <c r="L29" s="23">
        <f>K29-VLOOKUP(I29,Roaming!C:E,3,FALSE)</f>
        <v>5</v>
      </c>
      <c r="M29" s="13" t="s">
        <v>184</v>
      </c>
      <c r="N29" s="11"/>
      <c r="O29" s="8" t="s">
        <v>64</v>
      </c>
      <c r="P29" s="8" t="s">
        <v>185</v>
      </c>
      <c r="Q29" s="15"/>
      <c r="R29" s="8">
        <v>6</v>
      </c>
      <c r="S29" s="23">
        <f>R29-VLOOKUP(P29,Roaming!C:E,3,FALSE)</f>
        <v>6</v>
      </c>
      <c r="T29" s="10"/>
    </row>
    <row r="30" spans="1:20" x14ac:dyDescent="0.35">
      <c r="A30" s="8" t="s">
        <v>186</v>
      </c>
      <c r="B30" s="8" t="s">
        <v>187</v>
      </c>
      <c r="C30" s="15">
        <v>13</v>
      </c>
      <c r="D30" s="8">
        <v>4</v>
      </c>
      <c r="E30" s="23">
        <f>D30-VLOOKUP(B30,Roaming!C:E,3,FALSE)</f>
        <v>4</v>
      </c>
      <c r="F30" s="13" t="s">
        <v>182</v>
      </c>
      <c r="G30" s="11"/>
      <c r="H30" s="8" t="s">
        <v>83</v>
      </c>
      <c r="I30" s="8" t="s">
        <v>188</v>
      </c>
      <c r="J30" s="15">
        <v>19</v>
      </c>
      <c r="K30" s="8">
        <v>8</v>
      </c>
      <c r="L30" s="23">
        <f>K30-VLOOKUP(I30,Roaming!C:E,3,FALSE)</f>
        <v>8</v>
      </c>
      <c r="M30" s="13" t="s">
        <v>189</v>
      </c>
      <c r="N30" s="11"/>
      <c r="O30" s="8" t="s">
        <v>64</v>
      </c>
      <c r="P30" s="8" t="s">
        <v>190</v>
      </c>
      <c r="Q30" s="15"/>
      <c r="R30" s="8">
        <v>7</v>
      </c>
      <c r="S30" s="23">
        <f>R30-VLOOKUP(P30,Roaming!C:E,3,FALSE)</f>
        <v>7</v>
      </c>
      <c r="T30" s="10"/>
    </row>
    <row r="31" spans="1:20" x14ac:dyDescent="0.35">
      <c r="A31" s="8" t="s">
        <v>55</v>
      </c>
      <c r="B31" s="8" t="s">
        <v>191</v>
      </c>
      <c r="C31" s="15">
        <v>13</v>
      </c>
      <c r="D31" s="8">
        <v>10</v>
      </c>
      <c r="E31" s="23">
        <f>D31-VLOOKUP(B31,Roaming!C:E,3,FALSE)</f>
        <v>9</v>
      </c>
      <c r="F31" s="13" t="s">
        <v>192</v>
      </c>
      <c r="G31" s="11"/>
      <c r="H31" s="8" t="s">
        <v>83</v>
      </c>
      <c r="I31" s="8" t="s">
        <v>193</v>
      </c>
      <c r="J31" s="15">
        <v>19</v>
      </c>
      <c r="K31" s="8">
        <v>4</v>
      </c>
      <c r="L31" s="23">
        <f>K31-VLOOKUP(I31,Roaming!C:E,3,FALSE)</f>
        <v>4</v>
      </c>
      <c r="M31" s="13" t="s">
        <v>194</v>
      </c>
      <c r="N31" s="11"/>
      <c r="O31" s="8" t="s">
        <v>195</v>
      </c>
      <c r="P31" s="8" t="s">
        <v>196</v>
      </c>
      <c r="Q31" s="15">
        <v>0</v>
      </c>
      <c r="R31" s="8">
        <v>3</v>
      </c>
      <c r="S31" s="23">
        <f>R31-VLOOKUP(P31,Roaming!C:E,3,FALSE)</f>
        <v>3</v>
      </c>
      <c r="T31" s="10"/>
    </row>
    <row r="32" spans="1:20" ht="15" customHeight="1" x14ac:dyDescent="0.35">
      <c r="A32" s="8" t="s">
        <v>55</v>
      </c>
      <c r="B32" s="8" t="s">
        <v>197</v>
      </c>
      <c r="C32" s="15">
        <v>14</v>
      </c>
      <c r="D32" s="8">
        <v>6</v>
      </c>
      <c r="E32" s="23">
        <f>D32-VLOOKUP(B32,Roaming!C:E,3,FALSE)</f>
        <v>4</v>
      </c>
      <c r="F32" s="13" t="s">
        <v>198</v>
      </c>
      <c r="G32" s="11"/>
      <c r="H32" s="8" t="s">
        <v>83</v>
      </c>
      <c r="I32" s="8" t="s">
        <v>199</v>
      </c>
      <c r="J32" s="15">
        <v>19</v>
      </c>
      <c r="K32" s="8">
        <v>5</v>
      </c>
      <c r="L32" s="23">
        <f>K32-VLOOKUP(I32,Roaming!C:E,3,FALSE)</f>
        <v>5</v>
      </c>
      <c r="M32" s="13" t="s">
        <v>200</v>
      </c>
      <c r="N32" s="11"/>
      <c r="O32" s="8" t="s">
        <v>195</v>
      </c>
      <c r="P32" s="8" t="s">
        <v>201</v>
      </c>
      <c r="Q32" s="15">
        <v>10.5</v>
      </c>
      <c r="R32" s="12">
        <v>5</v>
      </c>
      <c r="S32" s="23">
        <f>R32-VLOOKUP(P32,Roaming!C:E,3,FALSE)</f>
        <v>5</v>
      </c>
      <c r="T32" s="10"/>
    </row>
    <row r="33" spans="1:20" x14ac:dyDescent="0.35">
      <c r="A33" s="8" t="s">
        <v>59</v>
      </c>
      <c r="B33" s="8" t="s">
        <v>202</v>
      </c>
      <c r="C33" s="15">
        <v>10.32</v>
      </c>
      <c r="D33" s="8">
        <v>7</v>
      </c>
      <c r="E33" s="23">
        <f>D33-VLOOKUP(B33,Roaming!C:E,3,FALSE)</f>
        <v>6</v>
      </c>
      <c r="F33" s="13" t="s">
        <v>203</v>
      </c>
      <c r="G33" s="11"/>
      <c r="H33" s="8" t="s">
        <v>83</v>
      </c>
      <c r="I33" s="8" t="s">
        <v>204</v>
      </c>
      <c r="J33" s="15">
        <v>20</v>
      </c>
      <c r="K33" s="8">
        <v>4</v>
      </c>
      <c r="L33" s="23">
        <f>K33-VLOOKUP(I33,Roaming!C:E,3,FALSE)</f>
        <v>4</v>
      </c>
      <c r="M33" s="13" t="s">
        <v>205</v>
      </c>
      <c r="N33" s="11"/>
      <c r="O33" s="8" t="s">
        <v>195</v>
      </c>
      <c r="P33" s="8" t="s">
        <v>206</v>
      </c>
      <c r="Q33" s="15"/>
      <c r="R33" s="8">
        <v>1</v>
      </c>
      <c r="S33" s="23">
        <f>R33-VLOOKUP(P33,Roaming!C:E,3,FALSE)</f>
        <v>1</v>
      </c>
      <c r="T33" s="10"/>
    </row>
    <row r="34" spans="1:20" ht="15" customHeight="1" x14ac:dyDescent="0.35">
      <c r="A34" s="8" t="s">
        <v>59</v>
      </c>
      <c r="B34" s="8" t="s">
        <v>207</v>
      </c>
      <c r="C34" s="15">
        <v>10.32</v>
      </c>
      <c r="D34" s="8">
        <v>15</v>
      </c>
      <c r="E34" s="23">
        <f>D34-VLOOKUP(B34,Roaming!C:E,3,FALSE)</f>
        <v>13</v>
      </c>
      <c r="F34" s="13" t="s">
        <v>208</v>
      </c>
      <c r="G34" s="11"/>
      <c r="H34" s="8" t="s">
        <v>209</v>
      </c>
      <c r="I34" s="8" t="s">
        <v>210</v>
      </c>
      <c r="J34" s="15">
        <v>20</v>
      </c>
      <c r="K34" s="8">
        <v>11</v>
      </c>
      <c r="L34" s="23">
        <f>K34-VLOOKUP(I34,Roaming!C:E,3,FALSE)</f>
        <v>10</v>
      </c>
      <c r="M34" s="13" t="s">
        <v>211</v>
      </c>
      <c r="N34" s="11"/>
      <c r="O34" s="8" t="s">
        <v>212</v>
      </c>
      <c r="P34" s="8" t="s">
        <v>213</v>
      </c>
      <c r="Q34" s="15">
        <v>12</v>
      </c>
      <c r="R34" s="8">
        <v>3</v>
      </c>
      <c r="S34" s="23">
        <f>R34-VLOOKUP(P34,Roaming!C:E,3,FALSE)</f>
        <v>3</v>
      </c>
      <c r="T34" s="10"/>
    </row>
    <row r="35" spans="1:20" x14ac:dyDescent="0.35">
      <c r="A35" s="8" t="s">
        <v>59</v>
      </c>
      <c r="B35" s="8" t="s">
        <v>214</v>
      </c>
      <c r="C35" s="15">
        <v>12</v>
      </c>
      <c r="D35" s="8">
        <v>13</v>
      </c>
      <c r="E35" s="23">
        <f>D35-VLOOKUP(B35,Roaming!C:E,3,FALSE)</f>
        <v>10</v>
      </c>
      <c r="F35" s="13" t="s">
        <v>215</v>
      </c>
      <c r="G35" s="11"/>
      <c r="H35" s="8" t="s">
        <v>216</v>
      </c>
      <c r="I35" s="8" t="s">
        <v>217</v>
      </c>
      <c r="J35" s="15">
        <v>20</v>
      </c>
      <c r="K35" s="8">
        <v>1</v>
      </c>
      <c r="L35" s="23">
        <f>K35-VLOOKUP(I35,Roaming!C:E,3,FALSE)</f>
        <v>1</v>
      </c>
      <c r="M35" s="13" t="s">
        <v>218</v>
      </c>
      <c r="N35" s="11"/>
      <c r="O35" s="8" t="s">
        <v>219</v>
      </c>
      <c r="P35" s="8" t="s">
        <v>220</v>
      </c>
      <c r="Q35" s="15">
        <v>12</v>
      </c>
      <c r="R35" s="8">
        <v>2</v>
      </c>
      <c r="S35" s="23">
        <f>R35-VLOOKUP(P35,Roaming!C:E,3,FALSE)</f>
        <v>2</v>
      </c>
      <c r="T35" s="10"/>
    </row>
    <row r="36" spans="1:20" ht="15.75" customHeight="1" x14ac:dyDescent="0.35">
      <c r="A36" s="8" t="s">
        <v>66</v>
      </c>
      <c r="B36" s="8" t="s">
        <v>221</v>
      </c>
      <c r="C36" s="15">
        <v>15</v>
      </c>
      <c r="D36" s="8">
        <v>9</v>
      </c>
      <c r="E36" s="23">
        <f>D36-VLOOKUP(B36,Roaming!C:E,3,FALSE)</f>
        <v>7</v>
      </c>
      <c r="F36" s="13" t="s">
        <v>222</v>
      </c>
      <c r="G36" s="11"/>
      <c r="H36" s="8" t="s">
        <v>216</v>
      </c>
      <c r="I36" s="8" t="s">
        <v>223</v>
      </c>
      <c r="J36" s="15">
        <v>20</v>
      </c>
      <c r="K36" s="8">
        <v>4</v>
      </c>
      <c r="L36" s="23">
        <f>K36-VLOOKUP(I36,Roaming!C:E,3,FALSE)</f>
        <v>4</v>
      </c>
      <c r="M36" s="13" t="s">
        <v>224</v>
      </c>
      <c r="N36" s="11"/>
      <c r="O36" s="8" t="s">
        <v>225</v>
      </c>
      <c r="P36" s="44" t="s">
        <v>226</v>
      </c>
      <c r="Q36" s="16"/>
      <c r="R36" s="8">
        <v>1</v>
      </c>
      <c r="S36" s="23">
        <f>R36-VLOOKUP(P36,Roaming!C:E,3,FALSE)</f>
        <v>1</v>
      </c>
      <c r="T36" s="10"/>
    </row>
    <row r="37" spans="1:20" x14ac:dyDescent="0.35">
      <c r="A37" s="8" t="s">
        <v>66</v>
      </c>
      <c r="B37" s="8" t="s">
        <v>227</v>
      </c>
      <c r="C37" s="15">
        <v>15</v>
      </c>
      <c r="D37" s="8">
        <v>11</v>
      </c>
      <c r="E37" s="23">
        <f>D37-VLOOKUP(B37,Roaming!C:E,3,FALSE)</f>
        <v>9</v>
      </c>
      <c r="F37" s="13" t="s">
        <v>228</v>
      </c>
      <c r="G37" s="11"/>
      <c r="H37" s="8" t="s">
        <v>229</v>
      </c>
      <c r="I37" s="8" t="s">
        <v>230</v>
      </c>
      <c r="J37" s="15">
        <v>32.049999999999997</v>
      </c>
      <c r="K37" s="8">
        <v>13</v>
      </c>
      <c r="L37" s="23">
        <f>K37-VLOOKUP(I37,Roaming!C:E,3,FALSE)</f>
        <v>10</v>
      </c>
      <c r="M37" s="13" t="s">
        <v>231</v>
      </c>
      <c r="N37" s="11"/>
      <c r="O37" s="8" t="s">
        <v>232</v>
      </c>
      <c r="P37" s="44" t="s">
        <v>233</v>
      </c>
      <c r="Q37" s="15">
        <v>0</v>
      </c>
      <c r="R37" s="8">
        <v>1</v>
      </c>
      <c r="S37" s="23">
        <f>R37-VLOOKUP(P37,Roaming!C:E,3,FALSE)</f>
        <v>0</v>
      </c>
      <c r="T37" s="13"/>
    </row>
    <row r="38" spans="1:20" x14ac:dyDescent="0.35">
      <c r="A38" s="8" t="s">
        <v>66</v>
      </c>
      <c r="B38" s="8" t="s">
        <v>234</v>
      </c>
      <c r="C38" s="28">
        <v>15</v>
      </c>
      <c r="D38" s="8">
        <v>5</v>
      </c>
      <c r="E38" s="23">
        <f>D38-VLOOKUP(B38,Roaming!C:E,3,FALSE)</f>
        <v>5</v>
      </c>
      <c r="F38" s="13" t="s">
        <v>235</v>
      </c>
      <c r="G38" s="11"/>
      <c r="H38" s="8" t="s">
        <v>229</v>
      </c>
      <c r="I38" s="8" t="s">
        <v>236</v>
      </c>
      <c r="J38" s="15">
        <v>32.049999999999997</v>
      </c>
      <c r="K38" s="8">
        <v>8</v>
      </c>
      <c r="L38" s="23">
        <f>K38-VLOOKUP(I38,Roaming!C:E,3,FALSE)</f>
        <v>7</v>
      </c>
      <c r="M38" s="13" t="s">
        <v>231</v>
      </c>
      <c r="N38" s="11"/>
      <c r="O38" s="8" t="s">
        <v>232</v>
      </c>
      <c r="P38" s="8" t="s">
        <v>237</v>
      </c>
      <c r="Q38" s="15">
        <v>0</v>
      </c>
      <c r="R38" s="8">
        <v>2</v>
      </c>
      <c r="S38" s="23">
        <f>R38-VLOOKUP(P38,Roaming!C:E,3,FALSE)</f>
        <v>2</v>
      </c>
      <c r="T38" s="13"/>
    </row>
    <row r="39" spans="1:20" x14ac:dyDescent="0.35">
      <c r="A39" s="8" t="s">
        <v>103</v>
      </c>
      <c r="B39" s="8" t="s">
        <v>238</v>
      </c>
      <c r="C39" s="28">
        <v>15</v>
      </c>
      <c r="D39" s="8">
        <v>9</v>
      </c>
      <c r="E39" s="23">
        <f>D39-VLOOKUP(B39,Roaming!C:E,3,FALSE)</f>
        <v>9</v>
      </c>
      <c r="F39" s="13" t="s">
        <v>239</v>
      </c>
      <c r="G39" s="11"/>
      <c r="H39" s="8" t="s">
        <v>229</v>
      </c>
      <c r="I39" s="8" t="s">
        <v>240</v>
      </c>
      <c r="J39" s="15">
        <v>32.049999999999997</v>
      </c>
      <c r="K39" s="8">
        <v>10</v>
      </c>
      <c r="L39" s="23">
        <f>K39-VLOOKUP(I39,Roaming!C:E,3,FALSE)</f>
        <v>10</v>
      </c>
      <c r="M39" s="13" t="s">
        <v>231</v>
      </c>
      <c r="N39" s="11"/>
      <c r="O39" s="8" t="s">
        <v>232</v>
      </c>
      <c r="P39" s="8" t="s">
        <v>241</v>
      </c>
      <c r="Q39" s="15">
        <v>0</v>
      </c>
      <c r="R39" s="8">
        <v>4</v>
      </c>
      <c r="S39" s="23">
        <f>R39-VLOOKUP(P39,Roaming!C:E,3,FALSE)</f>
        <v>3</v>
      </c>
      <c r="T39" s="13"/>
    </row>
    <row r="40" spans="1:20" x14ac:dyDescent="0.35">
      <c r="A40" s="8" t="s">
        <v>103</v>
      </c>
      <c r="B40" s="8" t="s">
        <v>242</v>
      </c>
      <c r="C40" s="28">
        <v>15</v>
      </c>
      <c r="D40" s="8">
        <v>12</v>
      </c>
      <c r="E40" s="23">
        <f>D40-VLOOKUP(B40,Roaming!C:E,3,FALSE)</f>
        <v>12</v>
      </c>
      <c r="F40" s="13" t="s">
        <v>243</v>
      </c>
      <c r="G40" s="11"/>
      <c r="H40" s="8" t="s">
        <v>229</v>
      </c>
      <c r="I40" s="8" t="s">
        <v>244</v>
      </c>
      <c r="J40" s="15">
        <v>32.049999999999997</v>
      </c>
      <c r="K40" s="8">
        <v>2</v>
      </c>
      <c r="L40" s="23">
        <f>K40-VLOOKUP(I40,Roaming!C:E,3,FALSE)</f>
        <v>2</v>
      </c>
      <c r="M40" s="13" t="s">
        <v>231</v>
      </c>
      <c r="N40" s="11"/>
      <c r="O40" s="8" t="s">
        <v>245</v>
      </c>
      <c r="P40" s="8" t="s">
        <v>246</v>
      </c>
      <c r="Q40" s="15">
        <v>0</v>
      </c>
      <c r="R40" s="8">
        <v>6</v>
      </c>
      <c r="S40" s="23">
        <f>R40-VLOOKUP(P40,Roaming!C:E,3,FALSE)</f>
        <v>6</v>
      </c>
      <c r="T40" s="10"/>
    </row>
    <row r="41" spans="1:20" x14ac:dyDescent="0.35">
      <c r="A41" s="8" t="s">
        <v>103</v>
      </c>
      <c r="B41" s="8" t="s">
        <v>247</v>
      </c>
      <c r="C41" s="28">
        <v>15</v>
      </c>
      <c r="D41" s="8">
        <v>4</v>
      </c>
      <c r="E41" s="23">
        <f>D41-VLOOKUP(B41,Roaming!C:E,3,FALSE)</f>
        <v>3</v>
      </c>
      <c r="F41" s="13" t="s">
        <v>248</v>
      </c>
      <c r="G41" s="11"/>
      <c r="H41" s="8" t="s">
        <v>229</v>
      </c>
      <c r="I41" s="8" t="s">
        <v>249</v>
      </c>
      <c r="J41" s="15">
        <v>32.049999999999997</v>
      </c>
      <c r="K41" s="8">
        <v>12</v>
      </c>
      <c r="L41" s="23">
        <f>K41-VLOOKUP(I41,Roaming!C:E,3,FALSE)</f>
        <v>12</v>
      </c>
      <c r="M41" s="13" t="s">
        <v>250</v>
      </c>
      <c r="N41" s="11"/>
      <c r="O41" s="8" t="s">
        <v>251</v>
      </c>
      <c r="P41" s="8" t="s">
        <v>252</v>
      </c>
      <c r="Q41" s="15">
        <v>19</v>
      </c>
      <c r="R41" s="8">
        <v>6</v>
      </c>
      <c r="S41" s="23">
        <f>R41-VLOOKUP(P41,Roaming!C:E,3,FALSE)</f>
        <v>6</v>
      </c>
      <c r="T41" s="10"/>
    </row>
    <row r="42" spans="1:20" x14ac:dyDescent="0.35">
      <c r="A42" s="8" t="s">
        <v>103</v>
      </c>
      <c r="B42" s="8" t="s">
        <v>253</v>
      </c>
      <c r="C42" s="28">
        <v>15</v>
      </c>
      <c r="D42" s="8">
        <v>2</v>
      </c>
      <c r="E42" s="23">
        <f>D42-VLOOKUP(B42,Roaming!C:E,3,FALSE)</f>
        <v>2</v>
      </c>
      <c r="F42" s="13" t="s">
        <v>248</v>
      </c>
      <c r="G42" s="11"/>
      <c r="M42">
        <v>33</v>
      </c>
      <c r="N42" s="11"/>
      <c r="O42" s="8" t="s">
        <v>251</v>
      </c>
      <c r="P42" s="8" t="s">
        <v>254</v>
      </c>
      <c r="Q42" s="15">
        <v>18.7</v>
      </c>
      <c r="R42" s="8">
        <v>8</v>
      </c>
      <c r="S42" s="23">
        <f>R42-VLOOKUP(P42,Roaming!C:E,3,FALSE)</f>
        <v>7</v>
      </c>
      <c r="T42" s="10"/>
    </row>
    <row r="43" spans="1:20" ht="15.5" x14ac:dyDescent="0.35">
      <c r="A43" s="8" t="s">
        <v>72</v>
      </c>
      <c r="B43" s="8" t="s">
        <v>255</v>
      </c>
      <c r="C43" s="15">
        <v>13</v>
      </c>
      <c r="D43" s="8">
        <v>4</v>
      </c>
      <c r="E43" s="23">
        <f>D43-VLOOKUP(B43,Roaming!C:E,3,FALSE)</f>
        <v>4</v>
      </c>
      <c r="F43" s="13" t="s">
        <v>256</v>
      </c>
      <c r="G43" s="11"/>
      <c r="H43" s="42" t="s">
        <v>257</v>
      </c>
      <c r="I43" s="43"/>
      <c r="J43" s="43"/>
      <c r="K43" s="43"/>
      <c r="L43" s="43"/>
      <c r="M43" s="43"/>
      <c r="N43" s="11"/>
      <c r="O43" s="8" t="s">
        <v>258</v>
      </c>
      <c r="P43" s="8" t="s">
        <v>259</v>
      </c>
      <c r="Q43" s="15">
        <v>18.7</v>
      </c>
      <c r="R43" s="8">
        <v>7</v>
      </c>
      <c r="S43" s="23">
        <f>R43-VLOOKUP(P43,Roaming!C:E,3,FALSE)</f>
        <v>7</v>
      </c>
      <c r="T43" s="10"/>
    </row>
    <row r="44" spans="1:20" ht="15.5" x14ac:dyDescent="0.35">
      <c r="A44" s="8" t="s">
        <v>72</v>
      </c>
      <c r="B44" s="8" t="s">
        <v>260</v>
      </c>
      <c r="C44" s="15">
        <v>13</v>
      </c>
      <c r="D44" s="8">
        <v>9</v>
      </c>
      <c r="E44" s="23">
        <f>D44-VLOOKUP(B44,Roaming!C:E,3,FALSE)</f>
        <v>8</v>
      </c>
      <c r="F44" s="13" t="s">
        <v>261</v>
      </c>
      <c r="G44" s="11"/>
      <c r="H44" s="17" t="s">
        <v>37</v>
      </c>
      <c r="I44" s="18" t="str">
        <f>CONCATENATE(SUM(K46:K51)," Boards")</f>
        <v>23 Boards</v>
      </c>
      <c r="J44" s="19" t="s">
        <v>2</v>
      </c>
      <c r="K44" s="20" t="s">
        <v>3</v>
      </c>
      <c r="L44" s="19" t="s">
        <v>4</v>
      </c>
      <c r="M44" s="19" t="s">
        <v>38</v>
      </c>
      <c r="N44" s="11"/>
      <c r="O44" s="8" t="s">
        <v>251</v>
      </c>
      <c r="P44" s="8" t="s">
        <v>262</v>
      </c>
      <c r="Q44" s="15">
        <v>18.7</v>
      </c>
      <c r="R44" s="8">
        <v>4</v>
      </c>
      <c r="S44" s="23">
        <f>R44-VLOOKUP(P44,Roaming!C:E,3,FALSE)</f>
        <v>4</v>
      </c>
      <c r="T44" s="10"/>
    </row>
    <row r="45" spans="1:20" x14ac:dyDescent="0.35">
      <c r="A45" s="8" t="s">
        <v>72</v>
      </c>
      <c r="B45" s="8" t="s">
        <v>263</v>
      </c>
      <c r="C45" s="15">
        <v>13</v>
      </c>
      <c r="D45" s="8">
        <v>9</v>
      </c>
      <c r="E45" s="23">
        <f>D45-VLOOKUP(B45,Roaming!C:E,3,FALSE)</f>
        <v>9</v>
      </c>
      <c r="F45" s="13" t="s">
        <v>264</v>
      </c>
      <c r="G45" s="11"/>
      <c r="H45" s="8"/>
      <c r="I45" s="8" t="s">
        <v>265</v>
      </c>
      <c r="J45" s="8"/>
      <c r="K45" s="8">
        <v>2</v>
      </c>
      <c r="L45" s="23">
        <f>K45-VLOOKUP(I45,Roaming!C:E,3,FALSE)</f>
        <v>2</v>
      </c>
      <c r="M45" s="13"/>
      <c r="N45" s="11"/>
      <c r="O45" s="8" t="s">
        <v>266</v>
      </c>
      <c r="P45" s="8" t="s">
        <v>267</v>
      </c>
      <c r="Q45" s="15">
        <v>57</v>
      </c>
      <c r="R45" s="8">
        <v>1</v>
      </c>
      <c r="S45" s="23">
        <f>R45-VLOOKUP(P45,Roaming!C:E,3,FALSE)</f>
        <v>1</v>
      </c>
      <c r="T45" s="10"/>
    </row>
    <row r="46" spans="1:20" x14ac:dyDescent="0.35">
      <c r="A46" s="8" t="s">
        <v>268</v>
      </c>
      <c r="B46" s="8" t="s">
        <v>269</v>
      </c>
      <c r="C46" s="15">
        <v>13</v>
      </c>
      <c r="D46" s="8">
        <v>5</v>
      </c>
      <c r="E46" s="23">
        <f>D46-VLOOKUP(B46,Roaming!C:E,3,FALSE)</f>
        <v>4</v>
      </c>
      <c r="F46" s="13" t="s">
        <v>270</v>
      </c>
      <c r="G46" s="11"/>
      <c r="H46" s="8" t="s">
        <v>39</v>
      </c>
      <c r="I46" s="8" t="s">
        <v>271</v>
      </c>
      <c r="J46" s="8"/>
      <c r="K46" s="8">
        <v>1</v>
      </c>
      <c r="L46" s="23">
        <f>K46-VLOOKUP(I46,Roaming!C:E,3,FALSE)</f>
        <v>1</v>
      </c>
      <c r="M46" s="13" t="s">
        <v>272</v>
      </c>
      <c r="N46" s="11"/>
      <c r="O46" s="8" t="s">
        <v>266</v>
      </c>
      <c r="P46" s="44" t="s">
        <v>273</v>
      </c>
      <c r="Q46" s="15">
        <v>11.2</v>
      </c>
      <c r="R46" s="9"/>
      <c r="S46" s="23">
        <f>R46-VLOOKUP(P46,Roaming!C:E,3,FALSE)</f>
        <v>0</v>
      </c>
      <c r="T46" s="13"/>
    </row>
    <row r="47" spans="1:20" x14ac:dyDescent="0.35">
      <c r="A47" s="8" t="s">
        <v>83</v>
      </c>
      <c r="B47" s="8" t="s">
        <v>274</v>
      </c>
      <c r="C47" s="15">
        <v>15</v>
      </c>
      <c r="D47" s="8">
        <v>9</v>
      </c>
      <c r="E47" s="23">
        <f>D47-VLOOKUP(B47,Roaming!C:E,3,FALSE)</f>
        <v>9</v>
      </c>
      <c r="F47" s="13" t="s">
        <v>275</v>
      </c>
      <c r="G47" s="11"/>
      <c r="H47" s="8" t="s">
        <v>39</v>
      </c>
      <c r="I47" s="8" t="s">
        <v>276</v>
      </c>
      <c r="J47" s="8"/>
      <c r="K47" s="8">
        <v>2</v>
      </c>
      <c r="L47" s="23">
        <f>K47-VLOOKUP(I47,Roaming!C:E,3,FALSE)</f>
        <v>2</v>
      </c>
      <c r="M47" s="13" t="s">
        <v>272</v>
      </c>
      <c r="N47" s="11"/>
      <c r="O47" s="8" t="s">
        <v>277</v>
      </c>
      <c r="P47" s="8" t="s">
        <v>278</v>
      </c>
      <c r="Q47" s="15">
        <v>15</v>
      </c>
      <c r="R47" s="8">
        <v>2</v>
      </c>
      <c r="S47" s="23">
        <f>R47-VLOOKUP(P47,Roaming!C:E,3,FALSE)</f>
        <v>2</v>
      </c>
      <c r="T47" s="13"/>
    </row>
    <row r="48" spans="1:20" x14ac:dyDescent="0.35">
      <c r="A48" s="8" t="s">
        <v>83</v>
      </c>
      <c r="B48" s="8" t="s">
        <v>279</v>
      </c>
      <c r="C48" s="15">
        <v>15</v>
      </c>
      <c r="D48" s="8">
        <v>7</v>
      </c>
      <c r="E48" s="23">
        <f>D48-VLOOKUP(B48,Roaming!C:E,3,FALSE)</f>
        <v>6</v>
      </c>
      <c r="F48" s="13" t="s">
        <v>280</v>
      </c>
      <c r="G48" s="11"/>
      <c r="H48" s="8" t="s">
        <v>281</v>
      </c>
      <c r="I48" s="8" t="s">
        <v>282</v>
      </c>
      <c r="J48" s="8"/>
      <c r="K48" s="8">
        <v>4</v>
      </c>
      <c r="L48" s="23">
        <f>K48-VLOOKUP(I48,Roaming!C:E,3,FALSE)</f>
        <v>4</v>
      </c>
      <c r="M48" s="13"/>
      <c r="N48" s="11"/>
      <c r="O48" s="8" t="s">
        <v>277</v>
      </c>
      <c r="P48" s="8" t="s">
        <v>283</v>
      </c>
      <c r="Q48" s="15">
        <v>21</v>
      </c>
      <c r="R48" s="8">
        <v>2</v>
      </c>
      <c r="S48" s="23">
        <f>R48-VLOOKUP(P48,Roaming!C:E,3,FALSE)</f>
        <v>2</v>
      </c>
      <c r="T48" s="13"/>
    </row>
    <row r="49" spans="1:20" x14ac:dyDescent="0.35">
      <c r="A49" s="8" t="s">
        <v>83</v>
      </c>
      <c r="B49" s="8" t="s">
        <v>284</v>
      </c>
      <c r="C49" s="15">
        <v>14</v>
      </c>
      <c r="D49" s="8">
        <v>7</v>
      </c>
      <c r="E49" s="23">
        <f>D49-VLOOKUP(B49,Roaming!C:E,3,FALSE)</f>
        <v>7</v>
      </c>
      <c r="F49" s="13" t="s">
        <v>285</v>
      </c>
      <c r="G49" s="11"/>
      <c r="H49" s="8" t="s">
        <v>83</v>
      </c>
      <c r="I49" s="33" t="s">
        <v>286</v>
      </c>
      <c r="J49" s="8"/>
      <c r="K49" s="8">
        <v>5</v>
      </c>
      <c r="L49" s="23">
        <f>K49-VLOOKUP(I49,Roaming!C:E,3,FALSE)</f>
        <v>5</v>
      </c>
      <c r="M49" s="13" t="s">
        <v>287</v>
      </c>
      <c r="N49" s="11"/>
      <c r="O49" s="8" t="s">
        <v>288</v>
      </c>
      <c r="P49" s="8" t="s">
        <v>289</v>
      </c>
      <c r="Q49" s="15"/>
      <c r="R49" s="8">
        <v>2</v>
      </c>
      <c r="S49" s="23">
        <f>R49-VLOOKUP(P49,Roaming!C:E,3,FALSE)</f>
        <v>2</v>
      </c>
      <c r="T49" s="13"/>
    </row>
    <row r="50" spans="1:20" x14ac:dyDescent="0.35">
      <c r="A50" s="8" t="s">
        <v>83</v>
      </c>
      <c r="B50" s="8" t="s">
        <v>290</v>
      </c>
      <c r="C50" s="15">
        <v>15</v>
      </c>
      <c r="D50" s="8">
        <v>6</v>
      </c>
      <c r="E50" s="23">
        <f>D50-VLOOKUP(B50,Roaming!C:E,3,FALSE)</f>
        <v>6</v>
      </c>
      <c r="F50" s="13" t="s">
        <v>291</v>
      </c>
      <c r="G50" s="11"/>
      <c r="H50" s="8" t="s">
        <v>83</v>
      </c>
      <c r="I50" s="8" t="s">
        <v>292</v>
      </c>
      <c r="J50" s="8"/>
      <c r="K50" s="8">
        <v>4</v>
      </c>
      <c r="L50" s="23">
        <f>K50-VLOOKUP(I50,Roaming!C:E,3,FALSE)</f>
        <v>4</v>
      </c>
      <c r="M50" s="13" t="s">
        <v>287</v>
      </c>
      <c r="N50" s="11"/>
      <c r="O50" s="8" t="s">
        <v>266</v>
      </c>
      <c r="P50" s="8" t="s">
        <v>293</v>
      </c>
      <c r="Q50" s="15">
        <v>0</v>
      </c>
      <c r="R50" s="8">
        <v>4</v>
      </c>
      <c r="S50" s="23">
        <f>R50-VLOOKUP(P50,Roaming!C:E,3,FALSE)</f>
        <v>4</v>
      </c>
      <c r="T50" s="13"/>
    </row>
    <row r="51" spans="1:20" x14ac:dyDescent="0.35">
      <c r="A51" s="8" t="s">
        <v>83</v>
      </c>
      <c r="B51" s="8" t="s">
        <v>294</v>
      </c>
      <c r="C51" s="15">
        <v>14</v>
      </c>
      <c r="D51" s="8">
        <v>12</v>
      </c>
      <c r="E51" s="23">
        <f>D51-VLOOKUP(B51,Roaming!C:E,3,FALSE)</f>
        <v>12</v>
      </c>
      <c r="F51" s="13" t="s">
        <v>295</v>
      </c>
      <c r="G51" s="11"/>
      <c r="H51" s="8" t="s">
        <v>296</v>
      </c>
      <c r="I51" s="8" t="s">
        <v>297</v>
      </c>
      <c r="J51" s="8"/>
      <c r="K51" s="8">
        <v>7</v>
      </c>
      <c r="L51" s="23">
        <f>K51-VLOOKUP(I51,Roaming!C:E,3,FALSE)</f>
        <v>5</v>
      </c>
      <c r="M51" s="13" t="s">
        <v>298</v>
      </c>
      <c r="N51" s="11"/>
      <c r="O51" s="8" t="s">
        <v>299</v>
      </c>
      <c r="P51" s="8" t="s">
        <v>300</v>
      </c>
      <c r="Q51" s="15">
        <v>0</v>
      </c>
      <c r="R51" s="8">
        <v>2</v>
      </c>
      <c r="S51" s="23">
        <f>R51-VLOOKUP(P51,Roaming!C:E,3,FALSE)</f>
        <v>2</v>
      </c>
      <c r="T51" s="13"/>
    </row>
    <row r="52" spans="1:20" x14ac:dyDescent="0.35">
      <c r="A52" s="8" t="s">
        <v>209</v>
      </c>
      <c r="B52" s="33" t="s">
        <v>210</v>
      </c>
      <c r="C52" s="15">
        <v>14</v>
      </c>
      <c r="D52" s="8">
        <v>6</v>
      </c>
      <c r="E52" s="23">
        <f>D52-VLOOKUP(B52,Roaming!C:E,3,FALSE)</f>
        <v>5</v>
      </c>
      <c r="F52" s="13" t="s">
        <v>301</v>
      </c>
      <c r="G52" s="11"/>
      <c r="N52" s="11"/>
      <c r="O52" s="8" t="s">
        <v>299</v>
      </c>
      <c r="P52" s="8" t="s">
        <v>302</v>
      </c>
      <c r="Q52" s="15">
        <v>0</v>
      </c>
      <c r="R52" s="8">
        <v>1</v>
      </c>
      <c r="S52" s="23">
        <f>R52-VLOOKUP(P52,Roaming!C:E,3,FALSE)</f>
        <v>1</v>
      </c>
      <c r="T52" s="13"/>
    </row>
    <row r="53" spans="1:20" x14ac:dyDescent="0.35">
      <c r="A53" s="8" t="s">
        <v>303</v>
      </c>
      <c r="B53" s="8" t="s">
        <v>304</v>
      </c>
      <c r="C53" s="15">
        <v>15</v>
      </c>
      <c r="D53" s="8">
        <v>4</v>
      </c>
      <c r="E53" s="23">
        <f>D53-VLOOKUP(B53,Roaming!C:E,3,FALSE)</f>
        <v>4</v>
      </c>
      <c r="F53" s="13" t="s">
        <v>305</v>
      </c>
      <c r="G53" s="11"/>
      <c r="N53" s="11"/>
      <c r="O53" s="8" t="s">
        <v>299</v>
      </c>
      <c r="P53" s="8" t="s">
        <v>306</v>
      </c>
      <c r="Q53" s="15">
        <v>0</v>
      </c>
      <c r="R53" s="8">
        <v>1</v>
      </c>
      <c r="S53" s="23">
        <f>R53-VLOOKUP(P53,Roaming!C:E,3,FALSE)</f>
        <v>1</v>
      </c>
      <c r="T53" s="13"/>
    </row>
    <row r="54" spans="1:20" x14ac:dyDescent="0.35">
      <c r="A54" s="8" t="s">
        <v>303</v>
      </c>
      <c r="B54" s="8" t="s">
        <v>307</v>
      </c>
      <c r="C54" s="15">
        <v>15</v>
      </c>
      <c r="D54" s="8">
        <v>4</v>
      </c>
      <c r="E54" s="23">
        <f>D54-VLOOKUP(B54,Roaming!C:E,3,FALSE)</f>
        <v>2</v>
      </c>
      <c r="F54" s="13" t="s">
        <v>308</v>
      </c>
      <c r="G54" s="11"/>
      <c r="N54" s="11"/>
      <c r="O54" s="8" t="s">
        <v>299</v>
      </c>
      <c r="P54" s="8" t="s">
        <v>309</v>
      </c>
      <c r="Q54" s="22"/>
      <c r="R54" s="8">
        <v>2</v>
      </c>
      <c r="S54" s="23">
        <f>R54-VLOOKUP(P54,Roaming!C:E,3,FALSE)</f>
        <v>2</v>
      </c>
      <c r="T54" s="13"/>
    </row>
    <row r="55" spans="1:20" x14ac:dyDescent="0.35">
      <c r="A55" s="8" t="s">
        <v>310</v>
      </c>
      <c r="B55" s="8" t="s">
        <v>311</v>
      </c>
      <c r="C55" s="15">
        <v>15</v>
      </c>
      <c r="D55" s="8">
        <v>4</v>
      </c>
      <c r="E55" s="23">
        <f>D55-VLOOKUP(B55,Roaming!C:E,3,FALSE)</f>
        <v>4</v>
      </c>
      <c r="F55" s="13" t="s">
        <v>312</v>
      </c>
      <c r="G55" s="11"/>
      <c r="N55" s="11"/>
      <c r="O55" s="8" t="s">
        <v>299</v>
      </c>
      <c r="P55" s="8" t="s">
        <v>313</v>
      </c>
      <c r="Q55" s="22"/>
      <c r="R55" s="8">
        <v>1</v>
      </c>
      <c r="S55" s="23">
        <f>R55-VLOOKUP(P55,Roaming!C:E,3,FALSE)</f>
        <v>1</v>
      </c>
      <c r="T55" s="13"/>
    </row>
    <row r="56" spans="1:20" x14ac:dyDescent="0.35">
      <c r="A56" s="8" t="s">
        <v>310</v>
      </c>
      <c r="B56" s="8" t="s">
        <v>314</v>
      </c>
      <c r="C56" s="15">
        <v>15</v>
      </c>
      <c r="D56" s="8">
        <v>2</v>
      </c>
      <c r="E56" s="23">
        <f>D56-VLOOKUP(B56,Roaming!C:E,3,FALSE)</f>
        <v>2</v>
      </c>
      <c r="F56" s="13" t="s">
        <v>315</v>
      </c>
      <c r="G56" s="11"/>
      <c r="N56" s="11"/>
      <c r="O56" s="8" t="s">
        <v>299</v>
      </c>
      <c r="P56" s="8" t="s">
        <v>316</v>
      </c>
      <c r="Q56" s="15">
        <v>20</v>
      </c>
      <c r="R56" s="8">
        <v>2</v>
      </c>
      <c r="S56" s="23">
        <f>R56-VLOOKUP(P56,Roaming!C:E,3,FALSE)</f>
        <v>2</v>
      </c>
      <c r="T56" s="13"/>
    </row>
    <row r="57" spans="1:20" x14ac:dyDescent="0.35">
      <c r="A57" s="8" t="s">
        <v>310</v>
      </c>
      <c r="B57" s="8" t="s">
        <v>317</v>
      </c>
      <c r="C57" s="15">
        <v>15</v>
      </c>
      <c r="D57" s="8">
        <v>4</v>
      </c>
      <c r="E57" s="23">
        <f>D57-VLOOKUP(B57,Roaming!C:E,3,FALSE)</f>
        <v>4</v>
      </c>
      <c r="F57" s="13" t="s">
        <v>318</v>
      </c>
      <c r="G57" s="11"/>
      <c r="N57" s="11"/>
      <c r="O57" s="8" t="s">
        <v>299</v>
      </c>
      <c r="P57" s="8" t="s">
        <v>319</v>
      </c>
      <c r="Q57" s="15">
        <v>20</v>
      </c>
      <c r="R57" s="8">
        <v>2</v>
      </c>
      <c r="S57" s="23">
        <f>R57-VLOOKUP(P57,Roaming!C:E,3,FALSE)</f>
        <v>2</v>
      </c>
      <c r="T57" s="13"/>
    </row>
    <row r="58" spans="1:20" ht="15" customHeight="1" x14ac:dyDescent="0.35">
      <c r="A58" s="8" t="s">
        <v>229</v>
      </c>
      <c r="B58" s="8" t="s">
        <v>320</v>
      </c>
      <c r="C58" s="28">
        <v>15</v>
      </c>
      <c r="D58" s="8">
        <v>10</v>
      </c>
      <c r="E58" s="23">
        <f>D58-VLOOKUP(B58,Roaming!C:E,3,FALSE)</f>
        <v>9</v>
      </c>
      <c r="F58" s="13" t="s">
        <v>321</v>
      </c>
      <c r="G58" s="11"/>
      <c r="N58" s="11"/>
      <c r="O58" s="8" t="s">
        <v>266</v>
      </c>
      <c r="P58" s="8" t="s">
        <v>322</v>
      </c>
      <c r="Q58" s="15">
        <v>30</v>
      </c>
      <c r="R58" s="8">
        <v>2</v>
      </c>
      <c r="S58" s="23">
        <f>R58-VLOOKUP(P58,Roaming!C:E,3,FALSE)</f>
        <v>2</v>
      </c>
      <c r="T58" s="13"/>
    </row>
    <row r="59" spans="1:20" ht="15" customHeight="1" x14ac:dyDescent="0.35">
      <c r="A59" s="8" t="s">
        <v>323</v>
      </c>
      <c r="B59" s="8" t="s">
        <v>324</v>
      </c>
      <c r="C59" s="28">
        <v>15</v>
      </c>
      <c r="D59" s="8">
        <v>2</v>
      </c>
      <c r="E59" s="23">
        <f>D59-VLOOKUP(B59,Roaming!C:E,3,FALSE)</f>
        <v>2</v>
      </c>
      <c r="F59" s="13" t="s">
        <v>325</v>
      </c>
      <c r="G59" s="11"/>
      <c r="N59" s="11"/>
      <c r="O59" s="8" t="s">
        <v>266</v>
      </c>
      <c r="P59" s="8" t="s">
        <v>326</v>
      </c>
      <c r="Q59" s="15">
        <v>30</v>
      </c>
      <c r="R59" s="8">
        <v>2</v>
      </c>
      <c r="S59" s="23">
        <f>R59-VLOOKUP(P59,Roaming!C:E,3,FALSE)</f>
        <v>2</v>
      </c>
      <c r="T59" s="13"/>
    </row>
    <row r="60" spans="1:20" x14ac:dyDescent="0.35">
      <c r="A60" s="8" t="s">
        <v>327</v>
      </c>
      <c r="B60" s="8" t="s">
        <v>328</v>
      </c>
      <c r="C60" s="28">
        <v>15</v>
      </c>
      <c r="D60" s="8">
        <v>6</v>
      </c>
      <c r="E60" s="23">
        <f>D60-VLOOKUP(B60,Roaming!C:E,3,FALSE)</f>
        <v>6</v>
      </c>
      <c r="F60" s="13" t="s">
        <v>329</v>
      </c>
      <c r="G60" s="11"/>
      <c r="N60" s="11"/>
      <c r="O60" s="8" t="s">
        <v>266</v>
      </c>
      <c r="P60" s="8" t="s">
        <v>330</v>
      </c>
      <c r="Q60" s="22"/>
      <c r="R60" s="8">
        <v>2</v>
      </c>
      <c r="S60" s="23">
        <f>R60-VLOOKUP(P60,Roaming!C:E,3,FALSE)</f>
        <v>2</v>
      </c>
      <c r="T60" s="13"/>
    </row>
    <row r="61" spans="1:20" x14ac:dyDescent="0.35">
      <c r="A61" s="8" t="s">
        <v>331</v>
      </c>
      <c r="B61" s="8" t="s">
        <v>332</v>
      </c>
      <c r="C61" s="28">
        <v>15</v>
      </c>
      <c r="D61" s="8">
        <v>2</v>
      </c>
      <c r="E61" s="23">
        <f>D61-VLOOKUP(B61,Roaming!C:E,3,FALSE)</f>
        <v>2</v>
      </c>
      <c r="F61" s="13" t="s">
        <v>333</v>
      </c>
      <c r="G61" s="11"/>
      <c r="N61" s="11"/>
      <c r="O61" s="8" t="s">
        <v>266</v>
      </c>
      <c r="P61" s="8" t="s">
        <v>334</v>
      </c>
      <c r="Q61" s="22"/>
      <c r="R61" s="8">
        <v>2</v>
      </c>
      <c r="S61" s="23">
        <f>R61-VLOOKUP(P61,Roaming!C:E,3,FALSE)</f>
        <v>2</v>
      </c>
      <c r="T61" s="13"/>
    </row>
    <row r="62" spans="1:20" x14ac:dyDescent="0.35">
      <c r="A62" s="8" t="s">
        <v>296</v>
      </c>
      <c r="B62" s="8" t="s">
        <v>335</v>
      </c>
      <c r="C62" s="15">
        <v>35</v>
      </c>
      <c r="D62" s="8">
        <v>8</v>
      </c>
      <c r="E62" s="23">
        <f>D62-VLOOKUP(B62,Roaming!C:E,3,FALSE)</f>
        <v>3</v>
      </c>
      <c r="F62" s="13" t="s">
        <v>336</v>
      </c>
      <c r="O62" s="8" t="s">
        <v>266</v>
      </c>
      <c r="P62" s="8" t="s">
        <v>337</v>
      </c>
      <c r="Q62" s="22"/>
      <c r="R62" s="8">
        <v>4</v>
      </c>
      <c r="S62" s="23">
        <f>R62-VLOOKUP(P62,Roaming!C:E,3,FALSE)</f>
        <v>4</v>
      </c>
      <c r="T62" s="13"/>
    </row>
    <row r="63" spans="1:20" x14ac:dyDescent="0.35">
      <c r="A63" s="8" t="s">
        <v>296</v>
      </c>
      <c r="B63" s="8" t="s">
        <v>338</v>
      </c>
      <c r="C63" s="28">
        <v>48</v>
      </c>
      <c r="D63" s="8">
        <v>8</v>
      </c>
      <c r="E63" s="23">
        <f>D63-VLOOKUP(B63,Roaming!C:E,3,FALSE)</f>
        <v>8</v>
      </c>
      <c r="F63" s="13" t="s">
        <v>339</v>
      </c>
      <c r="O63" s="8" t="s">
        <v>154</v>
      </c>
      <c r="P63" s="8" t="s">
        <v>340</v>
      </c>
      <c r="Q63" s="22"/>
      <c r="R63" s="8">
        <v>2</v>
      </c>
      <c r="S63" s="23">
        <f>R63-VLOOKUP(P63,Roaming!C:E,3,FALSE)</f>
        <v>2</v>
      </c>
      <c r="T63" s="13"/>
    </row>
    <row r="64" spans="1:20" x14ac:dyDescent="0.35">
      <c r="A64" s="8" t="s">
        <v>296</v>
      </c>
      <c r="B64" s="8" t="s">
        <v>341</v>
      </c>
      <c r="C64" s="28">
        <v>48</v>
      </c>
      <c r="D64" s="8">
        <v>6</v>
      </c>
      <c r="E64" s="23">
        <f>D64-VLOOKUP(B64,Roaming!C:E,3,FALSE)</f>
        <v>4</v>
      </c>
      <c r="F64" s="13" t="s">
        <v>339</v>
      </c>
      <c r="O64" s="8" t="s">
        <v>212</v>
      </c>
      <c r="P64" s="8" t="s">
        <v>342</v>
      </c>
      <c r="Q64" s="15">
        <v>37.5</v>
      </c>
      <c r="R64" s="8">
        <v>3</v>
      </c>
      <c r="S64" s="23">
        <f>R64-VLOOKUP(P64,Roaming!C:E,3,FALSE)</f>
        <v>3</v>
      </c>
      <c r="T64" s="13"/>
    </row>
    <row r="65" spans="1:20" x14ac:dyDescent="0.35">
      <c r="A65" s="8" t="s">
        <v>343</v>
      </c>
      <c r="B65" s="8" t="s">
        <v>344</v>
      </c>
      <c r="C65" s="15">
        <v>35</v>
      </c>
      <c r="D65" s="8">
        <v>8</v>
      </c>
      <c r="E65" s="23">
        <f>D65-VLOOKUP(B65,Roaming!C:E,3,FALSE)</f>
        <v>7</v>
      </c>
      <c r="F65" s="13" t="s">
        <v>345</v>
      </c>
      <c r="O65" s="8" t="s">
        <v>346</v>
      </c>
      <c r="P65" s="8" t="s">
        <v>347</v>
      </c>
      <c r="Q65" s="22"/>
      <c r="R65" s="8">
        <v>4</v>
      </c>
      <c r="S65" s="23">
        <f>R65-VLOOKUP(P65,Roaming!C:E,3,FALSE)</f>
        <v>4</v>
      </c>
      <c r="T65" s="13"/>
    </row>
    <row r="66" spans="1:20" x14ac:dyDescent="0.35">
      <c r="A66" s="8" t="s">
        <v>343</v>
      </c>
      <c r="B66" s="8" t="s">
        <v>348</v>
      </c>
      <c r="C66" s="15">
        <v>35</v>
      </c>
      <c r="D66" s="8">
        <v>8</v>
      </c>
      <c r="E66" s="23">
        <f>D66-VLOOKUP(B66,Roaming!C:E,3,FALSE)</f>
        <v>4</v>
      </c>
      <c r="F66" s="13" t="s">
        <v>349</v>
      </c>
      <c r="O66" s="8" t="s">
        <v>149</v>
      </c>
      <c r="P66" s="8" t="s">
        <v>350</v>
      </c>
      <c r="Q66" s="15"/>
      <c r="R66" s="8">
        <v>4</v>
      </c>
      <c r="S66" s="23">
        <f>R66-VLOOKUP(P66,Roaming!C:E,3,FALSE)</f>
        <v>4</v>
      </c>
      <c r="T66" s="13"/>
    </row>
    <row r="67" spans="1:20" x14ac:dyDescent="0.35">
      <c r="A67" s="8" t="s">
        <v>343</v>
      </c>
      <c r="B67" s="8" t="s">
        <v>351</v>
      </c>
      <c r="C67" s="15">
        <v>35</v>
      </c>
      <c r="D67" s="8">
        <v>4</v>
      </c>
      <c r="E67" s="23">
        <f>D67-VLOOKUP(B67,Roaming!C:E,3,FALSE)</f>
        <v>4</v>
      </c>
      <c r="F67" s="13" t="s">
        <v>352</v>
      </c>
      <c r="O67" s="8" t="s">
        <v>149</v>
      </c>
      <c r="P67" s="8" t="s">
        <v>353</v>
      </c>
      <c r="Q67" s="15"/>
      <c r="R67" s="8">
        <v>4</v>
      </c>
      <c r="S67" s="23">
        <f>R67-VLOOKUP(P67,Roaming!C:E,3,FALSE)</f>
        <v>4</v>
      </c>
      <c r="T67" s="13"/>
    </row>
    <row r="68" spans="1:20" x14ac:dyDescent="0.35">
      <c r="A68" s="8" t="s">
        <v>354</v>
      </c>
      <c r="B68" s="8" t="s">
        <v>355</v>
      </c>
      <c r="C68" s="15">
        <v>42</v>
      </c>
      <c r="D68" s="8">
        <v>6</v>
      </c>
      <c r="E68" s="23">
        <f>D68-VLOOKUP(B68,Roaming!C:E,3,FALSE)</f>
        <v>6</v>
      </c>
      <c r="F68" s="13" t="s">
        <v>356</v>
      </c>
      <c r="O68" s="8" t="s">
        <v>149</v>
      </c>
      <c r="P68" s="8" t="s">
        <v>357</v>
      </c>
      <c r="Q68" s="15">
        <v>16.600000000000001</v>
      </c>
      <c r="R68" s="8">
        <v>2</v>
      </c>
      <c r="S68" s="23">
        <f>R68-VLOOKUP(P68,Roaming!C:E,3,FALSE)</f>
        <v>2</v>
      </c>
      <c r="T68" s="13"/>
    </row>
    <row r="69" spans="1:20" x14ac:dyDescent="0.35">
      <c r="A69" s="8" t="s">
        <v>354</v>
      </c>
      <c r="B69" s="8" t="s">
        <v>358</v>
      </c>
      <c r="C69" s="15">
        <v>42</v>
      </c>
      <c r="D69" s="8">
        <v>12</v>
      </c>
      <c r="E69" s="23">
        <f>D69-VLOOKUP(B69,Roaming!C:E,3,FALSE)</f>
        <v>11</v>
      </c>
      <c r="F69" s="13" t="s">
        <v>356</v>
      </c>
      <c r="O69" s="8" t="s">
        <v>346</v>
      </c>
      <c r="P69" s="8" t="s">
        <v>359</v>
      </c>
      <c r="Q69" s="15">
        <v>0</v>
      </c>
      <c r="R69" s="8">
        <v>6</v>
      </c>
      <c r="S69" s="23">
        <f>R69-VLOOKUP(P69,Roaming!C:E,3,FALSE)</f>
        <v>6</v>
      </c>
      <c r="T69" s="13"/>
    </row>
    <row r="70" spans="1:20" x14ac:dyDescent="0.35">
      <c r="A70" s="8" t="s">
        <v>354</v>
      </c>
      <c r="B70" s="8" t="s">
        <v>360</v>
      </c>
      <c r="C70" s="15">
        <v>42</v>
      </c>
      <c r="D70" s="8">
        <v>5</v>
      </c>
      <c r="E70" s="23">
        <f>D70-VLOOKUP(B70,Roaming!C:E,3,FALSE)</f>
        <v>3</v>
      </c>
      <c r="F70" s="13" t="s">
        <v>361</v>
      </c>
      <c r="O70" s="8" t="s">
        <v>149</v>
      </c>
      <c r="P70" s="44" t="s">
        <v>362</v>
      </c>
      <c r="Q70" s="15"/>
      <c r="R70" s="8">
        <v>1</v>
      </c>
      <c r="S70" s="23">
        <f>R70-VLOOKUP(P70,Roaming!C:E,3,FALSE)</f>
        <v>1</v>
      </c>
      <c r="T70" s="13"/>
    </row>
    <row r="71" spans="1:20" x14ac:dyDescent="0.35">
      <c r="A71" s="8" t="s">
        <v>354</v>
      </c>
      <c r="B71" s="8" t="s">
        <v>363</v>
      </c>
      <c r="C71" s="15">
        <v>42</v>
      </c>
      <c r="D71" s="8">
        <v>7</v>
      </c>
      <c r="E71" s="23">
        <f>D71-VLOOKUP(B71,Roaming!C:E,3,FALSE)</f>
        <v>7</v>
      </c>
      <c r="F71" s="13" t="s">
        <v>361</v>
      </c>
    </row>
    <row r="72" spans="1:20" x14ac:dyDescent="0.35">
      <c r="D72" s="1">
        <f>SUM(D15:D71,D3:D11,K3:K41)</f>
        <v>679</v>
      </c>
    </row>
    <row r="120" spans="1:6" x14ac:dyDescent="0.35">
      <c r="A120" s="3"/>
      <c r="B120" s="2"/>
      <c r="C120" s="3"/>
      <c r="D120" s="3"/>
      <c r="E120" s="4"/>
      <c r="F120" s="4"/>
    </row>
    <row r="121" spans="1:6" x14ac:dyDescent="0.35">
      <c r="A121" s="3"/>
      <c r="B121" s="2"/>
      <c r="C121" s="3"/>
      <c r="D121" s="3"/>
      <c r="E121" s="4"/>
      <c r="F121" s="4"/>
    </row>
    <row r="122" spans="1:6" x14ac:dyDescent="0.35">
      <c r="A122" s="3"/>
      <c r="B122" s="2"/>
      <c r="C122" s="3"/>
      <c r="D122" s="3"/>
      <c r="E122" s="4"/>
      <c r="F122" s="4"/>
    </row>
    <row r="123" spans="1:6" x14ac:dyDescent="0.35">
      <c r="A123" s="3"/>
      <c r="B123" s="2"/>
      <c r="C123" s="3"/>
      <c r="D123" s="3"/>
      <c r="E123" s="4"/>
      <c r="F123" s="4"/>
    </row>
    <row r="124" spans="1:6" x14ac:dyDescent="0.35">
      <c r="A124" s="3"/>
      <c r="B124" s="2"/>
      <c r="C124" s="3"/>
      <c r="D124" s="3"/>
      <c r="E124" s="4"/>
      <c r="F124" s="4"/>
    </row>
    <row r="125" spans="1:6" x14ac:dyDescent="0.35">
      <c r="A125" s="3"/>
      <c r="B125" s="2"/>
      <c r="C125" s="3"/>
      <c r="D125" s="3"/>
      <c r="E125" s="4"/>
      <c r="F125" s="4"/>
    </row>
    <row r="126" spans="1:6" x14ac:dyDescent="0.35">
      <c r="A126" s="3"/>
      <c r="B126" s="2"/>
      <c r="C126" s="3"/>
      <c r="D126" s="3"/>
      <c r="E126" s="4"/>
      <c r="F126" s="4"/>
    </row>
    <row r="127" spans="1:6" x14ac:dyDescent="0.35">
      <c r="A127" s="3"/>
      <c r="B127" s="2"/>
      <c r="C127" s="3"/>
      <c r="D127" s="3"/>
      <c r="E127" s="4"/>
      <c r="F127" s="4"/>
    </row>
    <row r="128" spans="1:6" x14ac:dyDescent="0.35">
      <c r="A128" s="3"/>
      <c r="B128" s="2"/>
      <c r="C128" s="3"/>
      <c r="D128" s="3"/>
      <c r="E128" s="4"/>
      <c r="F128" s="4"/>
    </row>
    <row r="129" spans="1:6" x14ac:dyDescent="0.35">
      <c r="A129" s="3"/>
      <c r="B129" s="2"/>
      <c r="C129" s="3"/>
      <c r="D129" s="3"/>
      <c r="E129" s="4"/>
      <c r="F129" s="4"/>
    </row>
    <row r="130" spans="1:6" x14ac:dyDescent="0.35">
      <c r="A130" s="3"/>
      <c r="B130" s="2"/>
      <c r="C130" s="3"/>
      <c r="D130" s="3"/>
      <c r="E130" s="4"/>
      <c r="F130" s="4"/>
    </row>
    <row r="131" spans="1:6" x14ac:dyDescent="0.35">
      <c r="A131" s="3"/>
      <c r="B131" s="2"/>
      <c r="C131" s="3"/>
      <c r="D131" s="3"/>
      <c r="E131" s="4"/>
      <c r="F131" s="4"/>
    </row>
    <row r="132" spans="1:6" x14ac:dyDescent="0.35">
      <c r="A132" s="3"/>
      <c r="B132" s="2"/>
      <c r="C132" s="3"/>
      <c r="D132" s="3"/>
      <c r="E132" s="4"/>
      <c r="F132" s="4"/>
    </row>
    <row r="133" spans="1:6" x14ac:dyDescent="0.35">
      <c r="A133" s="3"/>
      <c r="B133" s="2"/>
      <c r="C133" s="3"/>
      <c r="D133" s="3"/>
      <c r="E133" s="4"/>
      <c r="F133" s="4"/>
    </row>
    <row r="134" spans="1:6" x14ac:dyDescent="0.35">
      <c r="A134" s="3"/>
      <c r="B134" s="2"/>
      <c r="C134" s="3"/>
      <c r="D134" s="3"/>
      <c r="E134" s="4"/>
      <c r="F134" s="4"/>
    </row>
    <row r="135" spans="1:6" x14ac:dyDescent="0.35">
      <c r="A135" s="3"/>
      <c r="B135" s="2"/>
      <c r="C135" s="3"/>
      <c r="D135" s="3"/>
      <c r="E135" s="4"/>
      <c r="F135" s="4"/>
    </row>
    <row r="136" spans="1:6" x14ac:dyDescent="0.35">
      <c r="A136" s="3"/>
      <c r="B136" s="2"/>
      <c r="C136" s="3"/>
      <c r="D136" s="3"/>
      <c r="E136" s="4"/>
      <c r="F136" s="4"/>
    </row>
    <row r="137" spans="1:6" x14ac:dyDescent="0.35">
      <c r="A137" s="3"/>
      <c r="B137" s="2"/>
      <c r="C137" s="3"/>
      <c r="D137" s="3"/>
      <c r="E137" s="4"/>
      <c r="F137" s="4"/>
    </row>
    <row r="138" spans="1:6" x14ac:dyDescent="0.35">
      <c r="A138" s="3"/>
      <c r="B138" s="2"/>
      <c r="C138" s="3"/>
      <c r="D138" s="3"/>
      <c r="E138" s="4"/>
      <c r="F138" s="4"/>
    </row>
    <row r="139" spans="1:6" x14ac:dyDescent="0.35">
      <c r="A139" s="3"/>
      <c r="B139" s="2"/>
      <c r="C139" s="3"/>
      <c r="D139" s="3"/>
      <c r="E139" s="4"/>
      <c r="F139" s="4"/>
    </row>
    <row r="140" spans="1:6" x14ac:dyDescent="0.35">
      <c r="A140" s="3"/>
      <c r="B140" s="2"/>
      <c r="C140" s="3"/>
      <c r="D140" s="3"/>
      <c r="E140" s="4"/>
      <c r="F140" s="4"/>
    </row>
    <row r="141" spans="1:6" x14ac:dyDescent="0.35">
      <c r="A141" s="3"/>
      <c r="B141" s="2"/>
      <c r="C141" s="3"/>
      <c r="D141" s="3"/>
      <c r="E141" s="4"/>
      <c r="F141" s="4"/>
    </row>
    <row r="142" spans="1:6" x14ac:dyDescent="0.35">
      <c r="A142" s="3"/>
      <c r="B142" s="2"/>
      <c r="C142" s="3"/>
      <c r="D142" s="3"/>
      <c r="E142" s="4"/>
      <c r="F142" s="4"/>
    </row>
    <row r="143" spans="1:6" x14ac:dyDescent="0.35">
      <c r="A143" s="3"/>
      <c r="B143" s="2"/>
      <c r="C143" s="3"/>
      <c r="D143" s="3"/>
      <c r="E143" s="4"/>
      <c r="F143" s="4"/>
    </row>
    <row r="144" spans="1:6" x14ac:dyDescent="0.35">
      <c r="A144" s="3"/>
      <c r="B144" s="2"/>
      <c r="C144" s="3"/>
      <c r="D144" s="3"/>
      <c r="E144" s="4"/>
      <c r="F144" s="4"/>
    </row>
    <row r="145" spans="1:6" x14ac:dyDescent="0.35">
      <c r="A145" s="3"/>
      <c r="B145" s="2"/>
      <c r="C145" s="3"/>
      <c r="D145" s="3"/>
      <c r="E145" s="4"/>
      <c r="F145" s="4"/>
    </row>
  </sheetData>
  <autoFilter ref="O2:T2" xr:uid="{00000000-0001-0000-0000-000000000000}">
    <sortState xmlns:xlrd2="http://schemas.microsoft.com/office/spreadsheetml/2017/richdata2" ref="O3:T47">
      <sortCondition ref="P2"/>
    </sortState>
  </autoFilter>
  <mergeCells count="4">
    <mergeCell ref="A1:F1"/>
    <mergeCell ref="A13:F13"/>
    <mergeCell ref="H1:M1"/>
    <mergeCell ref="O1:T1"/>
  </mergeCells>
  <phoneticPr fontId="8" type="noConversion"/>
  <conditionalFormatting sqref="E3:E11 L3:L41 S3:S70 E15:E71 L45:L51">
    <cfRule type="cellIs" dxfId="28" priority="13" operator="lessThanOrEqual">
      <formula>0</formula>
    </cfRule>
  </conditionalFormatting>
  <conditionalFormatting sqref="L1:L41 E1:E72 S1:S1048576 L44:L1048576 E76:E1048576">
    <cfRule type="cellIs" dxfId="27" priority="31" operator="equal">
      <formula>1</formula>
    </cfRule>
  </conditionalFormatting>
  <pageMargins left="0.25" right="0.25" top="0.75" bottom="0.75" header="0.3" footer="0.3"/>
  <pageSetup paperSize="9" scale="28" orientation="landscape" r:id="rId1"/>
  <headerFooter>
    <oddHeader>&amp;CStatus &amp;D</oddHeader>
    <oddFooter>&amp;R&amp;"Calibri"&amp;11&amp;K000000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722B8-7EBE-459D-92FA-C2FAD7AFCBC3}">
  <sheetPr codeName="Sheet3"/>
  <dimension ref="A1:G1115"/>
  <sheetViews>
    <sheetView tabSelected="1" topLeftCell="A151" zoomScale="70" workbookViewId="0">
      <selection activeCell="B366" sqref="B366"/>
    </sheetView>
  </sheetViews>
  <sheetFormatPr defaultRowHeight="14.5" outlineLevelRow="2" x14ac:dyDescent="0.35"/>
  <cols>
    <col min="1" max="1" width="29.08984375" bestFit="1" customWidth="1"/>
    <col min="2" max="2" width="28.36328125" bestFit="1" customWidth="1"/>
    <col min="3" max="3" width="12.7265625" bestFit="1" customWidth="1"/>
    <col min="4" max="4" width="31" bestFit="1" customWidth="1"/>
    <col min="5" max="5" width="19.08984375" bestFit="1" customWidth="1"/>
    <col min="6" max="6" width="19.26953125" bestFit="1" customWidth="1"/>
    <col min="7" max="7" width="11.7265625" bestFit="1" customWidth="1"/>
  </cols>
  <sheetData>
    <row r="1" spans="1:7" ht="15.5" x14ac:dyDescent="0.35">
      <c r="A1" s="51" t="s">
        <v>37</v>
      </c>
      <c r="B1" s="51" t="s">
        <v>742</v>
      </c>
      <c r="C1" s="51" t="s">
        <v>3</v>
      </c>
      <c r="D1" s="51" t="s">
        <v>810</v>
      </c>
      <c r="E1" s="51" t="s">
        <v>811</v>
      </c>
      <c r="F1" s="51" t="s">
        <v>813</v>
      </c>
      <c r="G1" s="51" t="s">
        <v>812</v>
      </c>
    </row>
    <row r="2" spans="1:7" x14ac:dyDescent="0.35">
      <c r="A2" s="50" t="s">
        <v>34</v>
      </c>
      <c r="B2" s="47" t="s">
        <v>2451</v>
      </c>
      <c r="C2" s="47"/>
      <c r="D2" s="48" t="s">
        <v>2451</v>
      </c>
      <c r="E2" s="47" t="s">
        <v>2451</v>
      </c>
      <c r="F2" s="47" t="s">
        <v>2451</v>
      </c>
      <c r="G2" s="49" t="s">
        <v>2451</v>
      </c>
    </row>
    <row r="3" spans="1:7" outlineLevel="1" x14ac:dyDescent="0.35">
      <c r="A3" s="8" t="s">
        <v>39</v>
      </c>
      <c r="B3" s="8" t="s">
        <v>743</v>
      </c>
      <c r="C3" s="8">
        <v>6</v>
      </c>
      <c r="D3" s="8" t="s">
        <v>2451</v>
      </c>
      <c r="E3" s="8" t="s">
        <v>2451</v>
      </c>
      <c r="F3" s="8" t="s">
        <v>2451</v>
      </c>
      <c r="G3" s="8" t="s">
        <v>2451</v>
      </c>
    </row>
    <row r="4" spans="1:7" outlineLevel="2" x14ac:dyDescent="0.35">
      <c r="A4" s="8" t="s">
        <v>2451</v>
      </c>
      <c r="B4" s="8" t="s">
        <v>2451</v>
      </c>
      <c r="C4" s="8"/>
      <c r="D4" s="8" t="s">
        <v>744</v>
      </c>
      <c r="E4" s="8" t="s">
        <v>2451</v>
      </c>
      <c r="F4" s="8" t="s">
        <v>2451</v>
      </c>
      <c r="G4" s="8" t="s">
        <v>2451</v>
      </c>
    </row>
    <row r="5" spans="1:7" outlineLevel="2" x14ac:dyDescent="0.35">
      <c r="A5" s="8" t="s">
        <v>2451</v>
      </c>
      <c r="B5" s="8" t="s">
        <v>2451</v>
      </c>
      <c r="C5" s="8"/>
      <c r="D5" s="8" t="s">
        <v>745</v>
      </c>
      <c r="E5" s="8" t="s">
        <v>2451</v>
      </c>
      <c r="F5" s="8" t="s">
        <v>2451</v>
      </c>
      <c r="G5" s="8" t="s">
        <v>2451</v>
      </c>
    </row>
    <row r="6" spans="1:7" outlineLevel="2" x14ac:dyDescent="0.35">
      <c r="A6" s="8" t="s">
        <v>2451</v>
      </c>
      <c r="B6" s="8" t="s">
        <v>2451</v>
      </c>
      <c r="C6" s="8"/>
      <c r="D6" s="8" t="s">
        <v>746</v>
      </c>
      <c r="E6" s="8" t="s">
        <v>2451</v>
      </c>
      <c r="F6" s="8" t="s">
        <v>2451</v>
      </c>
      <c r="G6" s="8" t="s">
        <v>2451</v>
      </c>
    </row>
    <row r="7" spans="1:7" outlineLevel="2" x14ac:dyDescent="0.35">
      <c r="A7" s="8" t="s">
        <v>2451</v>
      </c>
      <c r="B7" s="8" t="s">
        <v>2451</v>
      </c>
      <c r="C7" s="8"/>
      <c r="D7" s="8" t="s">
        <v>747</v>
      </c>
      <c r="E7" s="8" t="s">
        <v>2451</v>
      </c>
      <c r="F7" s="8" t="s">
        <v>2451</v>
      </c>
      <c r="G7" s="8" t="s">
        <v>2451</v>
      </c>
    </row>
    <row r="8" spans="1:7" outlineLevel="2" x14ac:dyDescent="0.35">
      <c r="A8" s="8" t="s">
        <v>2451</v>
      </c>
      <c r="B8" s="8" t="s">
        <v>2451</v>
      </c>
      <c r="C8" s="8"/>
      <c r="D8" s="8" t="s">
        <v>748</v>
      </c>
      <c r="E8" s="8" t="s">
        <v>2451</v>
      </c>
      <c r="F8" s="8" t="s">
        <v>2451</v>
      </c>
      <c r="G8" s="8" t="s">
        <v>2451</v>
      </c>
    </row>
    <row r="9" spans="1:7" outlineLevel="2" x14ac:dyDescent="0.35">
      <c r="A9" s="8" t="s">
        <v>2451</v>
      </c>
      <c r="B9" s="8" t="s">
        <v>2451</v>
      </c>
      <c r="C9" s="8"/>
      <c r="D9" s="8" t="s">
        <v>749</v>
      </c>
      <c r="E9" s="8" t="s">
        <v>2451</v>
      </c>
      <c r="F9" s="8" t="s">
        <v>2451</v>
      </c>
      <c r="G9" s="8" t="s">
        <v>2451</v>
      </c>
    </row>
    <row r="10" spans="1:7" outlineLevel="1" x14ac:dyDescent="0.35">
      <c r="A10" s="8" t="s">
        <v>39</v>
      </c>
      <c r="B10" s="8" t="s">
        <v>2452</v>
      </c>
      <c r="C10" s="8">
        <v>6</v>
      </c>
      <c r="D10" s="8" t="s">
        <v>2451</v>
      </c>
      <c r="E10" s="8" t="s">
        <v>2451</v>
      </c>
      <c r="F10" s="8" t="s">
        <v>2451</v>
      </c>
      <c r="G10" s="8" t="s">
        <v>2451</v>
      </c>
    </row>
    <row r="11" spans="1:7" outlineLevel="2" x14ac:dyDescent="0.35">
      <c r="A11" s="8" t="s">
        <v>2451</v>
      </c>
      <c r="B11" s="8" t="s">
        <v>2451</v>
      </c>
      <c r="C11" s="8"/>
      <c r="D11" s="8" t="s">
        <v>750</v>
      </c>
      <c r="E11" s="8" t="s">
        <v>2451</v>
      </c>
      <c r="F11" s="8" t="s">
        <v>2451</v>
      </c>
      <c r="G11" s="8" t="s">
        <v>2451</v>
      </c>
    </row>
    <row r="12" spans="1:7" outlineLevel="2" x14ac:dyDescent="0.35">
      <c r="A12" s="8" t="s">
        <v>2451</v>
      </c>
      <c r="B12" s="8" t="s">
        <v>2451</v>
      </c>
      <c r="C12" s="8"/>
      <c r="D12" s="8" t="s">
        <v>751</v>
      </c>
      <c r="E12" s="8" t="s">
        <v>2451</v>
      </c>
      <c r="F12" s="8" t="s">
        <v>2451</v>
      </c>
      <c r="G12" s="8" t="s">
        <v>2451</v>
      </c>
    </row>
    <row r="13" spans="1:7" outlineLevel="2" x14ac:dyDescent="0.35">
      <c r="A13" s="8" t="s">
        <v>2451</v>
      </c>
      <c r="B13" s="8" t="s">
        <v>2451</v>
      </c>
      <c r="C13" s="8"/>
      <c r="D13" s="8" t="s">
        <v>752</v>
      </c>
      <c r="E13" s="8" t="s">
        <v>2451</v>
      </c>
      <c r="F13" s="8" t="s">
        <v>2451</v>
      </c>
      <c r="G13" s="8" t="s">
        <v>2451</v>
      </c>
    </row>
    <row r="14" spans="1:7" outlineLevel="2" x14ac:dyDescent="0.35">
      <c r="A14" s="8" t="s">
        <v>2451</v>
      </c>
      <c r="B14" s="8" t="s">
        <v>2451</v>
      </c>
      <c r="C14" s="8"/>
      <c r="D14" s="8" t="s">
        <v>753</v>
      </c>
      <c r="E14" s="8" t="s">
        <v>2451</v>
      </c>
      <c r="F14" s="8" t="s">
        <v>2451</v>
      </c>
      <c r="G14" s="8" t="s">
        <v>2451</v>
      </c>
    </row>
    <row r="15" spans="1:7" outlineLevel="2" x14ac:dyDescent="0.35">
      <c r="A15" s="8" t="s">
        <v>2451</v>
      </c>
      <c r="B15" s="8" t="s">
        <v>2451</v>
      </c>
      <c r="C15" s="8"/>
      <c r="D15" s="8" t="s">
        <v>754</v>
      </c>
      <c r="E15" s="8" t="s">
        <v>2451</v>
      </c>
      <c r="F15" s="8" t="s">
        <v>2451</v>
      </c>
      <c r="G15" s="8" t="s">
        <v>2451</v>
      </c>
    </row>
    <row r="16" spans="1:7" outlineLevel="2" x14ac:dyDescent="0.35">
      <c r="A16" s="8" t="s">
        <v>2451</v>
      </c>
      <c r="B16" s="8" t="s">
        <v>2451</v>
      </c>
      <c r="C16" s="8"/>
      <c r="D16" s="8" t="s">
        <v>755</v>
      </c>
      <c r="E16" s="8" t="s">
        <v>2451</v>
      </c>
      <c r="F16" s="8" t="s">
        <v>2451</v>
      </c>
      <c r="G16" s="8" t="s">
        <v>2451</v>
      </c>
    </row>
    <row r="17" spans="1:7" outlineLevel="1" x14ac:dyDescent="0.35">
      <c r="A17" s="8" t="s">
        <v>49</v>
      </c>
      <c r="B17" s="8" t="s">
        <v>2453</v>
      </c>
      <c r="C17" s="8">
        <v>4</v>
      </c>
      <c r="D17" s="8" t="s">
        <v>2451</v>
      </c>
      <c r="E17" s="8" t="s">
        <v>2451</v>
      </c>
      <c r="F17" s="8" t="s">
        <v>2451</v>
      </c>
      <c r="G17" s="8" t="s">
        <v>2451</v>
      </c>
    </row>
    <row r="18" spans="1:7" outlineLevel="2" x14ac:dyDescent="0.35">
      <c r="A18" s="8" t="s">
        <v>2451</v>
      </c>
      <c r="B18" s="8" t="s">
        <v>2451</v>
      </c>
      <c r="C18" s="8"/>
      <c r="D18" s="8" t="s">
        <v>756</v>
      </c>
      <c r="E18" s="8" t="s">
        <v>2451</v>
      </c>
      <c r="F18" s="8" t="s">
        <v>2451</v>
      </c>
      <c r="G18" s="8" t="s">
        <v>2451</v>
      </c>
    </row>
    <row r="19" spans="1:7" outlineLevel="2" x14ac:dyDescent="0.35">
      <c r="A19" s="8" t="s">
        <v>2451</v>
      </c>
      <c r="B19" s="8" t="s">
        <v>2451</v>
      </c>
      <c r="C19" s="8"/>
      <c r="D19" s="8" t="s">
        <v>757</v>
      </c>
      <c r="E19" s="8" t="s">
        <v>2451</v>
      </c>
      <c r="F19" s="8" t="s">
        <v>2451</v>
      </c>
      <c r="G19" s="8" t="s">
        <v>2451</v>
      </c>
    </row>
    <row r="20" spans="1:7" outlineLevel="2" x14ac:dyDescent="0.35">
      <c r="A20" s="8" t="s">
        <v>2451</v>
      </c>
      <c r="B20" s="8" t="s">
        <v>2451</v>
      </c>
      <c r="C20" s="8"/>
      <c r="D20" s="8" t="s">
        <v>758</v>
      </c>
      <c r="E20" s="8" t="s">
        <v>2451</v>
      </c>
      <c r="F20" s="8" t="s">
        <v>2451</v>
      </c>
      <c r="G20" s="8" t="s">
        <v>2451</v>
      </c>
    </row>
    <row r="21" spans="1:7" outlineLevel="2" x14ac:dyDescent="0.35">
      <c r="A21" s="8" t="s">
        <v>2451</v>
      </c>
      <c r="B21" s="8" t="s">
        <v>2451</v>
      </c>
      <c r="C21" s="8"/>
      <c r="D21" s="8" t="s">
        <v>759</v>
      </c>
      <c r="E21" s="8" t="s">
        <v>2451</v>
      </c>
      <c r="F21" s="8" t="s">
        <v>2451</v>
      </c>
      <c r="G21" s="8" t="s">
        <v>2451</v>
      </c>
    </row>
    <row r="22" spans="1:7" outlineLevel="1" x14ac:dyDescent="0.35">
      <c r="A22" s="8" t="s">
        <v>59</v>
      </c>
      <c r="B22" s="8" t="s">
        <v>60</v>
      </c>
      <c r="C22" s="8">
        <v>12</v>
      </c>
      <c r="D22" s="8" t="s">
        <v>2451</v>
      </c>
      <c r="E22" s="8" t="s">
        <v>2451</v>
      </c>
      <c r="F22" s="8" t="s">
        <v>2451</v>
      </c>
      <c r="G22" s="8" t="s">
        <v>2451</v>
      </c>
    </row>
    <row r="23" spans="1:7" outlineLevel="2" x14ac:dyDescent="0.35">
      <c r="A23" s="8" t="s">
        <v>2451</v>
      </c>
      <c r="B23" s="8" t="s">
        <v>2451</v>
      </c>
      <c r="C23" s="8"/>
      <c r="D23" s="8" t="s">
        <v>760</v>
      </c>
      <c r="E23" s="8" t="s">
        <v>2451</v>
      </c>
      <c r="F23" s="8" t="s">
        <v>2451</v>
      </c>
      <c r="G23" s="8" t="s">
        <v>2451</v>
      </c>
    </row>
    <row r="24" spans="1:7" outlineLevel="2" x14ac:dyDescent="0.35">
      <c r="A24" s="8" t="s">
        <v>2451</v>
      </c>
      <c r="B24" s="8" t="s">
        <v>2451</v>
      </c>
      <c r="C24" s="8"/>
      <c r="D24" s="8" t="s">
        <v>761</v>
      </c>
      <c r="E24" s="8" t="s">
        <v>2451</v>
      </c>
      <c r="F24" s="8" t="s">
        <v>2451</v>
      </c>
      <c r="G24" s="8" t="s">
        <v>2451</v>
      </c>
    </row>
    <row r="25" spans="1:7" outlineLevel="2" x14ac:dyDescent="0.35">
      <c r="A25" s="8" t="s">
        <v>2451</v>
      </c>
      <c r="B25" s="8" t="s">
        <v>2451</v>
      </c>
      <c r="C25" s="8"/>
      <c r="D25" s="8" t="s">
        <v>762</v>
      </c>
      <c r="E25" s="8" t="s">
        <v>2451</v>
      </c>
      <c r="F25" s="8" t="s">
        <v>2451</v>
      </c>
      <c r="G25" s="8" t="s">
        <v>2451</v>
      </c>
    </row>
    <row r="26" spans="1:7" outlineLevel="2" x14ac:dyDescent="0.35">
      <c r="A26" s="8" t="s">
        <v>2451</v>
      </c>
      <c r="B26" s="8" t="s">
        <v>2451</v>
      </c>
      <c r="C26" s="8"/>
      <c r="D26" s="8" t="s">
        <v>763</v>
      </c>
      <c r="E26" s="8" t="s">
        <v>2451</v>
      </c>
      <c r="F26" s="8" t="s">
        <v>2451</v>
      </c>
      <c r="G26" s="8" t="s">
        <v>2451</v>
      </c>
    </row>
    <row r="27" spans="1:7" outlineLevel="2" x14ac:dyDescent="0.35">
      <c r="A27" s="8" t="s">
        <v>2451</v>
      </c>
      <c r="B27" s="8" t="s">
        <v>2451</v>
      </c>
      <c r="C27" s="8"/>
      <c r="D27" s="8" t="s">
        <v>764</v>
      </c>
      <c r="E27" s="8" t="s">
        <v>2451</v>
      </c>
      <c r="F27" s="8" t="s">
        <v>2451</v>
      </c>
      <c r="G27" s="8" t="s">
        <v>2451</v>
      </c>
    </row>
    <row r="28" spans="1:7" outlineLevel="2" x14ac:dyDescent="0.35">
      <c r="A28" s="8" t="s">
        <v>2451</v>
      </c>
      <c r="B28" s="8" t="s">
        <v>2451</v>
      </c>
      <c r="C28" s="8"/>
      <c r="D28" s="8" t="s">
        <v>765</v>
      </c>
      <c r="E28" s="8" t="s">
        <v>2451</v>
      </c>
      <c r="F28" s="8" t="s">
        <v>2451</v>
      </c>
      <c r="G28" s="8" t="s">
        <v>2451</v>
      </c>
    </row>
    <row r="29" spans="1:7" outlineLevel="2" x14ac:dyDescent="0.35">
      <c r="A29" s="8" t="s">
        <v>2451</v>
      </c>
      <c r="B29" s="8" t="s">
        <v>2451</v>
      </c>
      <c r="C29" s="8"/>
      <c r="D29" s="8" t="s">
        <v>766</v>
      </c>
      <c r="E29" s="8" t="s">
        <v>2451</v>
      </c>
      <c r="F29" s="8" t="s">
        <v>2451</v>
      </c>
      <c r="G29" s="8" t="s">
        <v>2451</v>
      </c>
    </row>
    <row r="30" spans="1:7" outlineLevel="2" x14ac:dyDescent="0.35">
      <c r="A30" s="8" t="s">
        <v>2451</v>
      </c>
      <c r="B30" s="8" t="s">
        <v>2451</v>
      </c>
      <c r="C30" s="8"/>
      <c r="D30" s="8" t="s">
        <v>767</v>
      </c>
      <c r="E30" s="8" t="s">
        <v>2451</v>
      </c>
      <c r="F30" s="8" t="s">
        <v>2451</v>
      </c>
      <c r="G30" s="8" t="s">
        <v>2451</v>
      </c>
    </row>
    <row r="31" spans="1:7" outlineLevel="2" x14ac:dyDescent="0.35">
      <c r="A31" s="8" t="s">
        <v>2451</v>
      </c>
      <c r="B31" s="8" t="s">
        <v>2451</v>
      </c>
      <c r="C31" s="8"/>
      <c r="D31" s="8" t="s">
        <v>768</v>
      </c>
      <c r="E31" s="8" t="s">
        <v>2451</v>
      </c>
      <c r="F31" s="8" t="s">
        <v>2451</v>
      </c>
      <c r="G31" s="8" t="s">
        <v>2451</v>
      </c>
    </row>
    <row r="32" spans="1:7" outlineLevel="2" x14ac:dyDescent="0.35">
      <c r="A32" s="8" t="s">
        <v>2451</v>
      </c>
      <c r="B32" s="8" t="s">
        <v>2451</v>
      </c>
      <c r="C32" s="8"/>
      <c r="D32" s="8" t="s">
        <v>769</v>
      </c>
      <c r="E32" s="8" t="s">
        <v>2451</v>
      </c>
      <c r="F32" s="8" t="s">
        <v>2451</v>
      </c>
      <c r="G32" s="8" t="s">
        <v>2451</v>
      </c>
    </row>
    <row r="33" spans="1:7" outlineLevel="2" x14ac:dyDescent="0.35">
      <c r="A33" s="8" t="s">
        <v>2451</v>
      </c>
      <c r="B33" s="8" t="s">
        <v>2451</v>
      </c>
      <c r="C33" s="8"/>
      <c r="D33" s="8" t="s">
        <v>770</v>
      </c>
      <c r="E33" s="8" t="s">
        <v>2451</v>
      </c>
      <c r="F33" s="8" t="s">
        <v>2451</v>
      </c>
      <c r="G33" s="8" t="s">
        <v>2451</v>
      </c>
    </row>
    <row r="34" spans="1:7" outlineLevel="2" x14ac:dyDescent="0.35">
      <c r="A34" s="8" t="s">
        <v>2451</v>
      </c>
      <c r="B34" s="8" t="s">
        <v>2451</v>
      </c>
      <c r="C34" s="8"/>
      <c r="D34" s="8" t="s">
        <v>771</v>
      </c>
      <c r="E34" s="8" t="s">
        <v>2451</v>
      </c>
      <c r="F34" s="8" t="s">
        <v>2451</v>
      </c>
      <c r="G34" s="8" t="s">
        <v>2451</v>
      </c>
    </row>
    <row r="35" spans="1:7" outlineLevel="1" x14ac:dyDescent="0.35">
      <c r="A35" s="8" t="s">
        <v>66</v>
      </c>
      <c r="B35" s="8" t="s">
        <v>67</v>
      </c>
      <c r="C35" s="8">
        <v>4</v>
      </c>
      <c r="D35" s="8" t="s">
        <v>2451</v>
      </c>
      <c r="E35" s="8" t="s">
        <v>2451</v>
      </c>
      <c r="F35" s="8" t="s">
        <v>2451</v>
      </c>
      <c r="G35" s="8" t="s">
        <v>2451</v>
      </c>
    </row>
    <row r="36" spans="1:7" outlineLevel="2" x14ac:dyDescent="0.35">
      <c r="A36" s="8" t="s">
        <v>2451</v>
      </c>
      <c r="B36" s="8" t="s">
        <v>2451</v>
      </c>
      <c r="C36" s="8"/>
      <c r="D36" s="8" t="s">
        <v>772</v>
      </c>
      <c r="E36" s="8" t="s">
        <v>2451</v>
      </c>
      <c r="F36" s="8" t="s">
        <v>2451</v>
      </c>
      <c r="G36" s="8" t="s">
        <v>2451</v>
      </c>
    </row>
    <row r="37" spans="1:7" outlineLevel="2" x14ac:dyDescent="0.35">
      <c r="A37" s="8" t="s">
        <v>2451</v>
      </c>
      <c r="B37" s="8" t="s">
        <v>2451</v>
      </c>
      <c r="C37" s="8"/>
      <c r="D37" s="8" t="s">
        <v>773</v>
      </c>
      <c r="E37" s="8" t="s">
        <v>2451</v>
      </c>
      <c r="F37" s="8" t="s">
        <v>2451</v>
      </c>
      <c r="G37" s="8" t="s">
        <v>2451</v>
      </c>
    </row>
    <row r="38" spans="1:7" outlineLevel="2" x14ac:dyDescent="0.35">
      <c r="A38" s="8" t="s">
        <v>2451</v>
      </c>
      <c r="B38" s="8" t="s">
        <v>2451</v>
      </c>
      <c r="C38" s="8"/>
      <c r="D38" s="8" t="s">
        <v>774</v>
      </c>
      <c r="E38" s="8" t="s">
        <v>2451</v>
      </c>
      <c r="F38" s="8" t="s">
        <v>2451</v>
      </c>
      <c r="G38" s="8" t="s">
        <v>2451</v>
      </c>
    </row>
    <row r="39" spans="1:7" outlineLevel="2" x14ac:dyDescent="0.35">
      <c r="A39" s="8" t="s">
        <v>2451</v>
      </c>
      <c r="B39" s="8" t="s">
        <v>2451</v>
      </c>
      <c r="C39" s="8"/>
      <c r="D39" s="8" t="s">
        <v>775</v>
      </c>
      <c r="E39" s="8" t="s">
        <v>2451</v>
      </c>
      <c r="F39" s="8" t="s">
        <v>2451</v>
      </c>
      <c r="G39" s="8" t="s">
        <v>2451</v>
      </c>
    </row>
    <row r="40" spans="1:7" outlineLevel="1" x14ac:dyDescent="0.35">
      <c r="A40" s="8" t="s">
        <v>72</v>
      </c>
      <c r="B40" s="8" t="s">
        <v>2454</v>
      </c>
      <c r="C40" s="8">
        <v>4</v>
      </c>
      <c r="D40" s="8" t="s">
        <v>2451</v>
      </c>
      <c r="E40" s="8" t="s">
        <v>2451</v>
      </c>
      <c r="F40" s="8" t="s">
        <v>2451</v>
      </c>
      <c r="G40" s="8" t="s">
        <v>2451</v>
      </c>
    </row>
    <row r="41" spans="1:7" outlineLevel="2" x14ac:dyDescent="0.35">
      <c r="A41" s="8" t="s">
        <v>2451</v>
      </c>
      <c r="B41" s="8" t="s">
        <v>2451</v>
      </c>
      <c r="C41" s="8"/>
      <c r="D41" s="8" t="s">
        <v>776</v>
      </c>
      <c r="E41" s="8" t="s">
        <v>2451</v>
      </c>
      <c r="F41" s="8" t="s">
        <v>2451</v>
      </c>
      <c r="G41" s="8" t="s">
        <v>2451</v>
      </c>
    </row>
    <row r="42" spans="1:7" outlineLevel="2" x14ac:dyDescent="0.35">
      <c r="A42" s="8" t="s">
        <v>2451</v>
      </c>
      <c r="B42" s="8" t="s">
        <v>2451</v>
      </c>
      <c r="C42" s="8"/>
      <c r="D42" s="8" t="s">
        <v>777</v>
      </c>
      <c r="E42" s="8" t="s">
        <v>2451</v>
      </c>
      <c r="F42" s="8" t="s">
        <v>2451</v>
      </c>
      <c r="G42" s="8" t="s">
        <v>2451</v>
      </c>
    </row>
    <row r="43" spans="1:7" outlineLevel="2" x14ac:dyDescent="0.35">
      <c r="A43" s="8" t="s">
        <v>2451</v>
      </c>
      <c r="B43" s="8" t="s">
        <v>2451</v>
      </c>
      <c r="C43" s="8"/>
      <c r="D43" s="8" t="s">
        <v>778</v>
      </c>
      <c r="E43" s="8" t="s">
        <v>2451</v>
      </c>
      <c r="F43" s="8" t="s">
        <v>2451</v>
      </c>
      <c r="G43" s="8" t="s">
        <v>2451</v>
      </c>
    </row>
    <row r="44" spans="1:7" outlineLevel="2" x14ac:dyDescent="0.35">
      <c r="A44" s="8" t="s">
        <v>2451</v>
      </c>
      <c r="B44" s="8" t="s">
        <v>2451</v>
      </c>
      <c r="C44" s="8"/>
      <c r="D44" s="8" t="s">
        <v>779</v>
      </c>
      <c r="E44" s="8" t="s">
        <v>2451</v>
      </c>
      <c r="F44" s="8" t="s">
        <v>2451</v>
      </c>
      <c r="G44" s="8" t="s">
        <v>2451</v>
      </c>
    </row>
    <row r="45" spans="1:7" outlineLevel="1" x14ac:dyDescent="0.35">
      <c r="A45" s="8" t="s">
        <v>72</v>
      </c>
      <c r="B45" s="8" t="s">
        <v>2455</v>
      </c>
      <c r="C45" s="8">
        <v>13</v>
      </c>
      <c r="D45" s="8" t="s">
        <v>2451</v>
      </c>
      <c r="E45" s="8" t="s">
        <v>2451</v>
      </c>
      <c r="F45" s="8" t="s">
        <v>2451</v>
      </c>
      <c r="G45" s="8" t="s">
        <v>2451</v>
      </c>
    </row>
    <row r="46" spans="1:7" outlineLevel="2" x14ac:dyDescent="0.35">
      <c r="A46" s="8" t="s">
        <v>2451</v>
      </c>
      <c r="B46" s="8" t="s">
        <v>2451</v>
      </c>
      <c r="C46" s="8"/>
      <c r="D46" s="8" t="s">
        <v>780</v>
      </c>
      <c r="E46" s="8" t="s">
        <v>2451</v>
      </c>
      <c r="F46" s="8" t="s">
        <v>2451</v>
      </c>
      <c r="G46" s="8" t="s">
        <v>2451</v>
      </c>
    </row>
    <row r="47" spans="1:7" outlineLevel="2" x14ac:dyDescent="0.35">
      <c r="A47" s="8" t="s">
        <v>2451</v>
      </c>
      <c r="B47" s="8" t="s">
        <v>2451</v>
      </c>
      <c r="C47" s="8"/>
      <c r="D47" s="8" t="s">
        <v>781</v>
      </c>
      <c r="E47" s="8" t="s">
        <v>2451</v>
      </c>
      <c r="F47" s="8" t="s">
        <v>2451</v>
      </c>
      <c r="G47" s="8" t="s">
        <v>2451</v>
      </c>
    </row>
    <row r="48" spans="1:7" outlineLevel="2" x14ac:dyDescent="0.35">
      <c r="A48" s="8" t="s">
        <v>2451</v>
      </c>
      <c r="B48" s="8" t="s">
        <v>2451</v>
      </c>
      <c r="C48" s="8"/>
      <c r="D48" s="8" t="s">
        <v>782</v>
      </c>
      <c r="E48" s="8" t="s">
        <v>2451</v>
      </c>
      <c r="F48" s="8" t="s">
        <v>2451</v>
      </c>
      <c r="G48" s="8" t="s">
        <v>2451</v>
      </c>
    </row>
    <row r="49" spans="1:7" outlineLevel="2" x14ac:dyDescent="0.35">
      <c r="A49" s="8" t="s">
        <v>2451</v>
      </c>
      <c r="B49" s="8" t="s">
        <v>2451</v>
      </c>
      <c r="C49" s="8"/>
      <c r="D49" s="8" t="s">
        <v>783</v>
      </c>
      <c r="E49" s="8" t="s">
        <v>2451</v>
      </c>
      <c r="F49" s="8" t="s">
        <v>2451</v>
      </c>
      <c r="G49" s="8" t="s">
        <v>2451</v>
      </c>
    </row>
    <row r="50" spans="1:7" outlineLevel="2" x14ac:dyDescent="0.35">
      <c r="A50" s="8" t="s">
        <v>2451</v>
      </c>
      <c r="B50" s="8" t="s">
        <v>2451</v>
      </c>
      <c r="C50" s="8"/>
      <c r="D50" s="8" t="s">
        <v>784</v>
      </c>
      <c r="E50" s="8" t="s">
        <v>2451</v>
      </c>
      <c r="F50" s="8" t="s">
        <v>2451</v>
      </c>
      <c r="G50" s="8" t="s">
        <v>2451</v>
      </c>
    </row>
    <row r="51" spans="1:7" outlineLevel="2" x14ac:dyDescent="0.35">
      <c r="A51" s="8" t="s">
        <v>2451</v>
      </c>
      <c r="B51" s="8" t="s">
        <v>2451</v>
      </c>
      <c r="C51" s="8"/>
      <c r="D51" s="8" t="s">
        <v>785</v>
      </c>
      <c r="E51" s="8" t="s">
        <v>2451</v>
      </c>
      <c r="F51" s="8" t="s">
        <v>2451</v>
      </c>
      <c r="G51" s="8" t="s">
        <v>2451</v>
      </c>
    </row>
    <row r="52" spans="1:7" outlineLevel="2" x14ac:dyDescent="0.35">
      <c r="A52" s="8" t="s">
        <v>2451</v>
      </c>
      <c r="B52" s="8" t="s">
        <v>2451</v>
      </c>
      <c r="C52" s="8"/>
      <c r="D52" s="8" t="s">
        <v>786</v>
      </c>
      <c r="E52" s="8" t="s">
        <v>2451</v>
      </c>
      <c r="F52" s="8" t="s">
        <v>2451</v>
      </c>
      <c r="G52" s="8" t="s">
        <v>2451</v>
      </c>
    </row>
    <row r="53" spans="1:7" outlineLevel="2" x14ac:dyDescent="0.35">
      <c r="A53" s="8" t="s">
        <v>2451</v>
      </c>
      <c r="B53" s="8" t="s">
        <v>2451</v>
      </c>
      <c r="C53" s="8"/>
      <c r="D53" s="8" t="s">
        <v>787</v>
      </c>
      <c r="E53" s="8" t="s">
        <v>2451</v>
      </c>
      <c r="F53" s="8" t="s">
        <v>2451</v>
      </c>
      <c r="G53" s="8" t="s">
        <v>2451</v>
      </c>
    </row>
    <row r="54" spans="1:7" outlineLevel="2" x14ac:dyDescent="0.35">
      <c r="A54" s="8" t="s">
        <v>2451</v>
      </c>
      <c r="B54" s="8" t="s">
        <v>2451</v>
      </c>
      <c r="C54" s="8"/>
      <c r="D54" s="8" t="s">
        <v>788</v>
      </c>
      <c r="E54" s="8" t="s">
        <v>2451</v>
      </c>
      <c r="F54" s="8" t="s">
        <v>2451</v>
      </c>
      <c r="G54" s="8" t="s">
        <v>2451</v>
      </c>
    </row>
    <row r="55" spans="1:7" outlineLevel="2" x14ac:dyDescent="0.35">
      <c r="A55" s="8" t="s">
        <v>2451</v>
      </c>
      <c r="B55" s="8" t="s">
        <v>2451</v>
      </c>
      <c r="C55" s="8"/>
      <c r="D55" s="8" t="s">
        <v>789</v>
      </c>
      <c r="E55" s="8" t="s">
        <v>2451</v>
      </c>
      <c r="F55" s="8" t="s">
        <v>2451</v>
      </c>
      <c r="G55" s="8" t="s">
        <v>2451</v>
      </c>
    </row>
    <row r="56" spans="1:7" outlineLevel="2" x14ac:dyDescent="0.35">
      <c r="A56" s="8" t="s">
        <v>2451</v>
      </c>
      <c r="B56" s="8" t="s">
        <v>2451</v>
      </c>
      <c r="C56" s="8"/>
      <c r="D56" s="8" t="s">
        <v>790</v>
      </c>
      <c r="E56" s="8" t="s">
        <v>2451</v>
      </c>
      <c r="F56" s="8" t="s">
        <v>2451</v>
      </c>
      <c r="G56" s="8" t="s">
        <v>2451</v>
      </c>
    </row>
    <row r="57" spans="1:7" outlineLevel="2" x14ac:dyDescent="0.35">
      <c r="A57" s="8" t="s">
        <v>2451</v>
      </c>
      <c r="B57" s="8" t="s">
        <v>2451</v>
      </c>
      <c r="C57" s="8"/>
      <c r="D57" s="8" t="s">
        <v>791</v>
      </c>
      <c r="E57" s="8" t="s">
        <v>2451</v>
      </c>
      <c r="F57" s="8" t="s">
        <v>2451</v>
      </c>
      <c r="G57" s="8" t="s">
        <v>2451</v>
      </c>
    </row>
    <row r="58" spans="1:7" outlineLevel="2" x14ac:dyDescent="0.35">
      <c r="A58" s="8" t="s">
        <v>2451</v>
      </c>
      <c r="B58" s="8" t="s">
        <v>2451</v>
      </c>
      <c r="C58" s="8"/>
      <c r="D58" s="8" t="s">
        <v>792</v>
      </c>
      <c r="E58" s="8" t="s">
        <v>2451</v>
      </c>
      <c r="F58" s="8" t="s">
        <v>2451</v>
      </c>
      <c r="G58" s="8" t="s">
        <v>2451</v>
      </c>
    </row>
    <row r="59" spans="1:7" outlineLevel="1" x14ac:dyDescent="0.35">
      <c r="A59" s="8" t="s">
        <v>83</v>
      </c>
      <c r="B59" s="8" t="s">
        <v>84</v>
      </c>
      <c r="C59" s="8">
        <v>7</v>
      </c>
      <c r="D59" s="8" t="s">
        <v>2451</v>
      </c>
      <c r="E59" s="8" t="s">
        <v>2451</v>
      </c>
      <c r="F59" s="8" t="s">
        <v>2451</v>
      </c>
      <c r="G59" s="8" t="s">
        <v>2451</v>
      </c>
    </row>
    <row r="60" spans="1:7" outlineLevel="2" x14ac:dyDescent="0.35">
      <c r="A60" s="8" t="s">
        <v>2451</v>
      </c>
      <c r="B60" s="8" t="s">
        <v>2451</v>
      </c>
      <c r="C60" s="8"/>
      <c r="D60" s="8" t="s">
        <v>793</v>
      </c>
      <c r="E60" s="8" t="s">
        <v>2451</v>
      </c>
      <c r="F60" s="8" t="s">
        <v>2451</v>
      </c>
      <c r="G60" s="8" t="s">
        <v>2451</v>
      </c>
    </row>
    <row r="61" spans="1:7" outlineLevel="2" x14ac:dyDescent="0.35">
      <c r="A61" s="8" t="s">
        <v>2451</v>
      </c>
      <c r="B61" s="8" t="s">
        <v>2451</v>
      </c>
      <c r="C61" s="8"/>
      <c r="D61" s="8" t="s">
        <v>794</v>
      </c>
      <c r="E61" s="8" t="s">
        <v>2451</v>
      </c>
      <c r="F61" s="8" t="s">
        <v>2451</v>
      </c>
      <c r="G61" s="8" t="s">
        <v>2451</v>
      </c>
    </row>
    <row r="62" spans="1:7" outlineLevel="2" x14ac:dyDescent="0.35">
      <c r="A62" s="8" t="s">
        <v>2451</v>
      </c>
      <c r="B62" s="8" t="s">
        <v>2451</v>
      </c>
      <c r="C62" s="8"/>
      <c r="D62" s="8" t="s">
        <v>795</v>
      </c>
      <c r="E62" s="8" t="s">
        <v>2451</v>
      </c>
      <c r="F62" s="8" t="s">
        <v>2451</v>
      </c>
      <c r="G62" s="8" t="s">
        <v>2451</v>
      </c>
    </row>
    <row r="63" spans="1:7" outlineLevel="2" x14ac:dyDescent="0.35">
      <c r="A63" s="8" t="s">
        <v>2451</v>
      </c>
      <c r="B63" s="8" t="s">
        <v>2451</v>
      </c>
      <c r="C63" s="8"/>
      <c r="D63" s="8" t="s">
        <v>796</v>
      </c>
      <c r="E63" s="8" t="s">
        <v>2451</v>
      </c>
      <c r="F63" s="8" t="s">
        <v>2451</v>
      </c>
      <c r="G63" s="8" t="s">
        <v>2451</v>
      </c>
    </row>
    <row r="64" spans="1:7" outlineLevel="2" x14ac:dyDescent="0.35">
      <c r="A64" s="8" t="s">
        <v>2451</v>
      </c>
      <c r="B64" s="8" t="s">
        <v>2451</v>
      </c>
      <c r="C64" s="8"/>
      <c r="D64" s="8" t="s">
        <v>797</v>
      </c>
      <c r="E64" s="8" t="s">
        <v>2451</v>
      </c>
      <c r="F64" s="8" t="s">
        <v>2451</v>
      </c>
      <c r="G64" s="8" t="s">
        <v>2451</v>
      </c>
    </row>
    <row r="65" spans="1:7" outlineLevel="2" x14ac:dyDescent="0.35">
      <c r="A65" s="8" t="s">
        <v>2451</v>
      </c>
      <c r="B65" s="8" t="s">
        <v>2451</v>
      </c>
      <c r="C65" s="8"/>
      <c r="D65" s="8" t="s">
        <v>798</v>
      </c>
      <c r="E65" s="8" t="s">
        <v>2451</v>
      </c>
      <c r="F65" s="8" t="s">
        <v>2451</v>
      </c>
      <c r="G65" s="8" t="s">
        <v>2451</v>
      </c>
    </row>
    <row r="66" spans="1:7" outlineLevel="2" x14ac:dyDescent="0.35">
      <c r="A66" s="8" t="s">
        <v>2451</v>
      </c>
      <c r="B66" s="8" t="s">
        <v>2451</v>
      </c>
      <c r="C66" s="8"/>
      <c r="D66" s="8" t="s">
        <v>799</v>
      </c>
      <c r="E66" s="8" t="s">
        <v>2451</v>
      </c>
      <c r="F66" s="8" t="s">
        <v>2451</v>
      </c>
      <c r="G66" s="8" t="s">
        <v>2451</v>
      </c>
    </row>
    <row r="67" spans="1:7" outlineLevel="1" x14ac:dyDescent="0.35">
      <c r="A67" s="8" t="s">
        <v>83</v>
      </c>
      <c r="B67" s="8" t="s">
        <v>90</v>
      </c>
      <c r="C67" s="8">
        <v>10</v>
      </c>
      <c r="D67" s="8" t="s">
        <v>2451</v>
      </c>
      <c r="E67" s="8" t="s">
        <v>2451</v>
      </c>
      <c r="F67" s="8" t="s">
        <v>2451</v>
      </c>
      <c r="G67" s="8" t="s">
        <v>2451</v>
      </c>
    </row>
    <row r="68" spans="1:7" outlineLevel="2" x14ac:dyDescent="0.35">
      <c r="A68" s="8" t="s">
        <v>2451</v>
      </c>
      <c r="B68" s="8" t="s">
        <v>2451</v>
      </c>
      <c r="C68" s="8"/>
      <c r="D68" s="8" t="s">
        <v>800</v>
      </c>
      <c r="E68" s="8" t="s">
        <v>2451</v>
      </c>
      <c r="F68" s="8" t="s">
        <v>2451</v>
      </c>
      <c r="G68" s="8" t="s">
        <v>2451</v>
      </c>
    </row>
    <row r="69" spans="1:7" outlineLevel="2" x14ac:dyDescent="0.35">
      <c r="A69" s="8" t="s">
        <v>2451</v>
      </c>
      <c r="B69" s="8" t="s">
        <v>2451</v>
      </c>
      <c r="C69" s="8"/>
      <c r="D69" s="8" t="s">
        <v>801</v>
      </c>
      <c r="E69" s="8" t="s">
        <v>2451</v>
      </c>
      <c r="F69" s="8" t="s">
        <v>2451</v>
      </c>
      <c r="G69" s="8" t="s">
        <v>2451</v>
      </c>
    </row>
    <row r="70" spans="1:7" outlineLevel="2" x14ac:dyDescent="0.35">
      <c r="A70" s="8" t="s">
        <v>2451</v>
      </c>
      <c r="B70" s="8" t="s">
        <v>2451</v>
      </c>
      <c r="C70" s="8"/>
      <c r="D70" s="8" t="s">
        <v>802</v>
      </c>
      <c r="E70" s="8" t="s">
        <v>2451</v>
      </c>
      <c r="F70" s="8" t="s">
        <v>2451</v>
      </c>
      <c r="G70" s="8" t="s">
        <v>2451</v>
      </c>
    </row>
    <row r="71" spans="1:7" outlineLevel="2" x14ac:dyDescent="0.35">
      <c r="A71" s="8" t="s">
        <v>2451</v>
      </c>
      <c r="B71" s="8" t="s">
        <v>2451</v>
      </c>
      <c r="C71" s="8"/>
      <c r="D71" s="8" t="s">
        <v>803</v>
      </c>
      <c r="E71" s="8" t="s">
        <v>2451</v>
      </c>
      <c r="F71" s="8" t="s">
        <v>2451</v>
      </c>
      <c r="G71" s="8" t="s">
        <v>2451</v>
      </c>
    </row>
    <row r="72" spans="1:7" outlineLevel="2" x14ac:dyDescent="0.35">
      <c r="A72" s="8" t="s">
        <v>2451</v>
      </c>
      <c r="B72" s="8" t="s">
        <v>2451</v>
      </c>
      <c r="C72" s="8"/>
      <c r="D72" s="8" t="s">
        <v>804</v>
      </c>
      <c r="E72" s="8" t="s">
        <v>2451</v>
      </c>
      <c r="F72" s="8" t="s">
        <v>2451</v>
      </c>
      <c r="G72" s="8" t="s">
        <v>2451</v>
      </c>
    </row>
    <row r="73" spans="1:7" outlineLevel="2" x14ac:dyDescent="0.35">
      <c r="A73" s="8" t="s">
        <v>2451</v>
      </c>
      <c r="B73" s="8" t="s">
        <v>2451</v>
      </c>
      <c r="C73" s="8"/>
      <c r="D73" s="8" t="s">
        <v>805</v>
      </c>
      <c r="E73" s="8" t="s">
        <v>2451</v>
      </c>
      <c r="F73" s="8" t="s">
        <v>2451</v>
      </c>
      <c r="G73" s="8" t="s">
        <v>2451</v>
      </c>
    </row>
    <row r="74" spans="1:7" outlineLevel="2" x14ac:dyDescent="0.35">
      <c r="A74" s="8" t="s">
        <v>2451</v>
      </c>
      <c r="B74" s="8" t="s">
        <v>2451</v>
      </c>
      <c r="C74" s="8"/>
      <c r="D74" s="8" t="s">
        <v>806</v>
      </c>
      <c r="E74" s="8" t="s">
        <v>2451</v>
      </c>
      <c r="F74" s="8" t="s">
        <v>2451</v>
      </c>
      <c r="G74" s="8" t="s">
        <v>2451</v>
      </c>
    </row>
    <row r="75" spans="1:7" outlineLevel="2" x14ac:dyDescent="0.35">
      <c r="A75" s="8" t="s">
        <v>2451</v>
      </c>
      <c r="B75" s="8" t="s">
        <v>2451</v>
      </c>
      <c r="C75" s="8"/>
      <c r="D75" s="8" t="s">
        <v>807</v>
      </c>
      <c r="E75" s="8" t="s">
        <v>2451</v>
      </c>
      <c r="F75" s="8" t="s">
        <v>2451</v>
      </c>
      <c r="G75" s="8" t="s">
        <v>2451</v>
      </c>
    </row>
    <row r="76" spans="1:7" outlineLevel="2" x14ac:dyDescent="0.35">
      <c r="A76" s="8" t="s">
        <v>2451</v>
      </c>
      <c r="B76" s="8" t="s">
        <v>2451</v>
      </c>
      <c r="C76" s="8"/>
      <c r="D76" s="8" t="s">
        <v>808</v>
      </c>
      <c r="E76" s="8" t="s">
        <v>2451</v>
      </c>
      <c r="F76" s="8" t="s">
        <v>2451</v>
      </c>
      <c r="G76" s="8" t="s">
        <v>2451</v>
      </c>
    </row>
    <row r="77" spans="1:7" outlineLevel="2" x14ac:dyDescent="0.35">
      <c r="A77" s="8" t="s">
        <v>2451</v>
      </c>
      <c r="B77" s="8" t="s">
        <v>2451</v>
      </c>
      <c r="C77" s="8"/>
      <c r="D77" s="8" t="s">
        <v>809</v>
      </c>
      <c r="E77" s="8" t="s">
        <v>2451</v>
      </c>
      <c r="F77" s="8" t="s">
        <v>2451</v>
      </c>
      <c r="G77" s="8" t="s">
        <v>2451</v>
      </c>
    </row>
    <row r="78" spans="1:7" outlineLevel="1" x14ac:dyDescent="0.35">
      <c r="A78" s="52" t="s">
        <v>2451</v>
      </c>
      <c r="B78" s="52" t="s">
        <v>2451</v>
      </c>
      <c r="C78" s="52"/>
      <c r="D78" s="52" t="s">
        <v>2451</v>
      </c>
      <c r="E78" s="52" t="s">
        <v>2451</v>
      </c>
      <c r="F78" s="52" t="s">
        <v>2451</v>
      </c>
      <c r="G78" s="52" t="s">
        <v>2451</v>
      </c>
    </row>
    <row r="79" spans="1:7" x14ac:dyDescent="0.35">
      <c r="A79" s="52" t="s">
        <v>2451</v>
      </c>
      <c r="B79" s="52" t="s">
        <v>2451</v>
      </c>
      <c r="C79" s="52"/>
      <c r="D79" s="52" t="s">
        <v>2451</v>
      </c>
      <c r="E79" s="52" t="s">
        <v>2451</v>
      </c>
      <c r="F79" s="52" t="s">
        <v>2451</v>
      </c>
      <c r="G79" s="52" t="s">
        <v>2451</v>
      </c>
    </row>
    <row r="80" spans="1:7" x14ac:dyDescent="0.35">
      <c r="A80" s="50" t="s">
        <v>99</v>
      </c>
      <c r="B80" s="47" t="s">
        <v>2451</v>
      </c>
      <c r="C80" s="47"/>
      <c r="D80" s="48" t="s">
        <v>2451</v>
      </c>
      <c r="E80" s="47" t="s">
        <v>2451</v>
      </c>
      <c r="F80" s="47" t="s">
        <v>2451</v>
      </c>
      <c r="G80" s="49" t="s">
        <v>2451</v>
      </c>
    </row>
    <row r="81" spans="1:7" outlineLevel="1" x14ac:dyDescent="0.35">
      <c r="A81" s="8" t="s">
        <v>107</v>
      </c>
      <c r="B81" s="8" t="s">
        <v>108</v>
      </c>
      <c r="C81" s="8">
        <v>11</v>
      </c>
      <c r="D81" s="8" t="s">
        <v>2451</v>
      </c>
      <c r="E81" s="8" t="s">
        <v>2451</v>
      </c>
      <c r="F81" s="8" t="s">
        <v>2451</v>
      </c>
      <c r="G81" s="8" t="s">
        <v>2451</v>
      </c>
    </row>
    <row r="82" spans="1:7" outlineLevel="2" x14ac:dyDescent="0.35">
      <c r="A82" s="8" t="s">
        <v>2451</v>
      </c>
      <c r="B82" s="8" t="s">
        <v>2451</v>
      </c>
      <c r="C82" s="8"/>
      <c r="D82" s="8" t="s">
        <v>814</v>
      </c>
      <c r="E82" s="8" t="s">
        <v>2451</v>
      </c>
      <c r="F82" s="8" t="s">
        <v>2451</v>
      </c>
      <c r="G82" s="8" t="s">
        <v>2451</v>
      </c>
    </row>
    <row r="83" spans="1:7" outlineLevel="2" x14ac:dyDescent="0.35">
      <c r="A83" s="8" t="s">
        <v>2451</v>
      </c>
      <c r="B83" s="8" t="s">
        <v>2451</v>
      </c>
      <c r="C83" s="8"/>
      <c r="D83" s="8" t="s">
        <v>815</v>
      </c>
      <c r="E83" s="8" t="s">
        <v>2451</v>
      </c>
      <c r="F83" s="8" t="s">
        <v>2451</v>
      </c>
      <c r="G83" s="8" t="s">
        <v>2451</v>
      </c>
    </row>
    <row r="84" spans="1:7" outlineLevel="2" x14ac:dyDescent="0.35">
      <c r="A84" s="8" t="s">
        <v>2451</v>
      </c>
      <c r="B84" s="8" t="s">
        <v>2451</v>
      </c>
      <c r="C84" s="8"/>
      <c r="D84" s="8" t="s">
        <v>816</v>
      </c>
      <c r="E84" s="8" t="s">
        <v>2451</v>
      </c>
      <c r="F84" s="8" t="s">
        <v>2451</v>
      </c>
      <c r="G84" s="8" t="s">
        <v>2451</v>
      </c>
    </row>
    <row r="85" spans="1:7" outlineLevel="2" x14ac:dyDescent="0.35">
      <c r="A85" s="8" t="s">
        <v>2451</v>
      </c>
      <c r="B85" s="8" t="s">
        <v>2451</v>
      </c>
      <c r="C85" s="8"/>
      <c r="D85" s="8" t="s">
        <v>817</v>
      </c>
      <c r="E85" s="8" t="s">
        <v>2451</v>
      </c>
      <c r="F85" s="8" t="s">
        <v>2451</v>
      </c>
      <c r="G85" s="8" t="s">
        <v>2451</v>
      </c>
    </row>
    <row r="86" spans="1:7" outlineLevel="2" x14ac:dyDescent="0.35">
      <c r="A86" s="8" t="s">
        <v>2451</v>
      </c>
      <c r="B86" s="8" t="s">
        <v>2451</v>
      </c>
      <c r="C86" s="8"/>
      <c r="D86" s="8" t="s">
        <v>818</v>
      </c>
      <c r="E86" s="8" t="s">
        <v>2451</v>
      </c>
      <c r="F86" s="8" t="s">
        <v>2451</v>
      </c>
      <c r="G86" s="8" t="s">
        <v>2451</v>
      </c>
    </row>
    <row r="87" spans="1:7" outlineLevel="2" x14ac:dyDescent="0.35">
      <c r="A87" s="8" t="s">
        <v>2451</v>
      </c>
      <c r="B87" s="8" t="s">
        <v>2451</v>
      </c>
      <c r="C87" s="8"/>
      <c r="D87" s="8" t="s">
        <v>819</v>
      </c>
      <c r="E87" s="8" t="s">
        <v>2451</v>
      </c>
      <c r="F87" s="8" t="s">
        <v>2451</v>
      </c>
      <c r="G87" s="8" t="s">
        <v>2451</v>
      </c>
    </row>
    <row r="88" spans="1:7" outlineLevel="2" x14ac:dyDescent="0.35">
      <c r="A88" s="8" t="s">
        <v>2451</v>
      </c>
      <c r="B88" s="8" t="s">
        <v>2451</v>
      </c>
      <c r="C88" s="8"/>
      <c r="D88" s="8" t="s">
        <v>820</v>
      </c>
      <c r="E88" s="8" t="s">
        <v>2451</v>
      </c>
      <c r="F88" s="8" t="s">
        <v>2451</v>
      </c>
      <c r="G88" s="8" t="s">
        <v>2451</v>
      </c>
    </row>
    <row r="89" spans="1:7" outlineLevel="2" x14ac:dyDescent="0.35">
      <c r="A89" s="8" t="s">
        <v>2451</v>
      </c>
      <c r="B89" s="8" t="s">
        <v>2451</v>
      </c>
      <c r="C89" s="8"/>
      <c r="D89" s="8" t="s">
        <v>821</v>
      </c>
      <c r="E89" s="8" t="s">
        <v>2451</v>
      </c>
      <c r="F89" s="8" t="s">
        <v>2451</v>
      </c>
      <c r="G89" s="8" t="s">
        <v>2451</v>
      </c>
    </row>
    <row r="90" spans="1:7" outlineLevel="2" x14ac:dyDescent="0.35">
      <c r="A90" s="8" t="s">
        <v>2451</v>
      </c>
      <c r="B90" s="8" t="s">
        <v>2451</v>
      </c>
      <c r="C90" s="8"/>
      <c r="D90" s="8" t="s">
        <v>822</v>
      </c>
      <c r="E90" s="8" t="s">
        <v>2451</v>
      </c>
      <c r="F90" s="8" t="s">
        <v>2451</v>
      </c>
      <c r="G90" s="8" t="s">
        <v>2451</v>
      </c>
    </row>
    <row r="91" spans="1:7" outlineLevel="2" x14ac:dyDescent="0.35">
      <c r="A91" s="8" t="s">
        <v>2451</v>
      </c>
      <c r="B91" s="8" t="s">
        <v>2451</v>
      </c>
      <c r="C91" s="8"/>
      <c r="D91" s="8" t="s">
        <v>823</v>
      </c>
      <c r="E91" s="8" t="s">
        <v>2451</v>
      </c>
      <c r="F91" s="8" t="s">
        <v>2451</v>
      </c>
      <c r="G91" s="8" t="s">
        <v>2451</v>
      </c>
    </row>
    <row r="92" spans="1:7" outlineLevel="2" x14ac:dyDescent="0.35">
      <c r="A92" s="8" t="s">
        <v>2451</v>
      </c>
      <c r="B92" s="8" t="s">
        <v>2451</v>
      </c>
      <c r="C92" s="8"/>
      <c r="D92" s="8" t="s">
        <v>824</v>
      </c>
      <c r="E92" s="8" t="s">
        <v>2451</v>
      </c>
      <c r="F92" s="8" t="s">
        <v>2451</v>
      </c>
      <c r="G92" s="8" t="s">
        <v>2451</v>
      </c>
    </row>
    <row r="93" spans="1:7" outlineLevel="1" x14ac:dyDescent="0.35">
      <c r="A93" s="8" t="s">
        <v>2451</v>
      </c>
      <c r="B93" s="8" t="s">
        <v>113</v>
      </c>
      <c r="C93" s="8">
        <v>6</v>
      </c>
      <c r="D93" s="8" t="s">
        <v>2451</v>
      </c>
      <c r="E93" s="8" t="s">
        <v>2451</v>
      </c>
      <c r="F93" s="8" t="s">
        <v>2451</v>
      </c>
      <c r="G93" s="8" t="s">
        <v>2451</v>
      </c>
    </row>
    <row r="94" spans="1:7" outlineLevel="2" x14ac:dyDescent="0.35">
      <c r="A94" s="8" t="s">
        <v>2451</v>
      </c>
      <c r="B94" s="8" t="s">
        <v>2451</v>
      </c>
      <c r="C94" s="8"/>
      <c r="D94" s="8" t="s">
        <v>825</v>
      </c>
      <c r="E94" s="8" t="s">
        <v>2451</v>
      </c>
      <c r="F94" s="8" t="s">
        <v>2451</v>
      </c>
      <c r="G94" s="8" t="s">
        <v>2451</v>
      </c>
    </row>
    <row r="95" spans="1:7" outlineLevel="2" x14ac:dyDescent="0.35">
      <c r="A95" s="8" t="s">
        <v>2451</v>
      </c>
      <c r="B95" s="8" t="s">
        <v>2451</v>
      </c>
      <c r="C95" s="8"/>
      <c r="D95" s="8" t="s">
        <v>826</v>
      </c>
      <c r="E95" s="8" t="s">
        <v>2451</v>
      </c>
      <c r="F95" s="8" t="s">
        <v>2451</v>
      </c>
      <c r="G95" s="8" t="s">
        <v>2451</v>
      </c>
    </row>
    <row r="96" spans="1:7" outlineLevel="2" x14ac:dyDescent="0.35">
      <c r="A96" s="8" t="s">
        <v>2451</v>
      </c>
      <c r="B96" s="8" t="s">
        <v>2451</v>
      </c>
      <c r="C96" s="8"/>
      <c r="D96" s="8" t="s">
        <v>827</v>
      </c>
      <c r="E96" s="8" t="s">
        <v>2451</v>
      </c>
      <c r="F96" s="8" t="s">
        <v>2451</v>
      </c>
      <c r="G96" s="8" t="s">
        <v>2451</v>
      </c>
    </row>
    <row r="97" spans="1:7" outlineLevel="2" x14ac:dyDescent="0.35">
      <c r="A97" s="8" t="s">
        <v>2451</v>
      </c>
      <c r="B97" s="8" t="s">
        <v>2451</v>
      </c>
      <c r="C97" s="8"/>
      <c r="D97" s="8" t="s">
        <v>828</v>
      </c>
      <c r="E97" s="8" t="s">
        <v>2451</v>
      </c>
      <c r="F97" s="8" t="s">
        <v>2451</v>
      </c>
      <c r="G97" s="8" t="s">
        <v>2451</v>
      </c>
    </row>
    <row r="98" spans="1:7" outlineLevel="2" x14ac:dyDescent="0.35">
      <c r="A98" s="8" t="s">
        <v>2451</v>
      </c>
      <c r="B98" s="8" t="s">
        <v>2451</v>
      </c>
      <c r="C98" s="8"/>
      <c r="D98" s="8" t="s">
        <v>829</v>
      </c>
      <c r="E98" s="8" t="s">
        <v>2451</v>
      </c>
      <c r="F98" s="8" t="s">
        <v>2451</v>
      </c>
      <c r="G98" s="8" t="s">
        <v>2451</v>
      </c>
    </row>
    <row r="99" spans="1:7" outlineLevel="2" x14ac:dyDescent="0.35">
      <c r="A99" s="8" t="s">
        <v>2451</v>
      </c>
      <c r="B99" s="8" t="s">
        <v>2451</v>
      </c>
      <c r="C99" s="8"/>
      <c r="D99" s="8" t="s">
        <v>830</v>
      </c>
      <c r="E99" s="8" t="s">
        <v>2451</v>
      </c>
      <c r="F99" s="8" t="s">
        <v>2451</v>
      </c>
      <c r="G99" s="8" t="s">
        <v>2451</v>
      </c>
    </row>
    <row r="100" spans="1:7" outlineLevel="1" x14ac:dyDescent="0.35">
      <c r="A100" s="8" t="s">
        <v>905</v>
      </c>
      <c r="B100" s="8" t="s">
        <v>118</v>
      </c>
      <c r="C100" s="8">
        <v>4</v>
      </c>
      <c r="D100" s="8" t="s">
        <v>2451</v>
      </c>
      <c r="E100" s="8" t="s">
        <v>2451</v>
      </c>
      <c r="F100" s="8" t="s">
        <v>2451</v>
      </c>
      <c r="G100" s="8" t="s">
        <v>2451</v>
      </c>
    </row>
    <row r="101" spans="1:7" outlineLevel="2" x14ac:dyDescent="0.35">
      <c r="A101" s="8" t="s">
        <v>2451</v>
      </c>
      <c r="B101" s="8" t="s">
        <v>2451</v>
      </c>
      <c r="C101" s="8"/>
      <c r="D101" s="8" t="s">
        <v>831</v>
      </c>
      <c r="E101" s="8" t="s">
        <v>2451</v>
      </c>
      <c r="F101" s="8" t="s">
        <v>2451</v>
      </c>
      <c r="G101" s="8" t="s">
        <v>2451</v>
      </c>
    </row>
    <row r="102" spans="1:7" outlineLevel="2" x14ac:dyDescent="0.35">
      <c r="A102" s="8" t="s">
        <v>2451</v>
      </c>
      <c r="B102" s="8" t="s">
        <v>2451</v>
      </c>
      <c r="C102" s="8"/>
      <c r="D102" s="8" t="s">
        <v>832</v>
      </c>
      <c r="E102" s="8" t="s">
        <v>2451</v>
      </c>
      <c r="F102" s="8" t="s">
        <v>2451</v>
      </c>
      <c r="G102" s="8" t="s">
        <v>2451</v>
      </c>
    </row>
    <row r="103" spans="1:7" outlineLevel="2" x14ac:dyDescent="0.35">
      <c r="A103" s="8" t="s">
        <v>2451</v>
      </c>
      <c r="B103" s="8" t="s">
        <v>2451</v>
      </c>
      <c r="C103" s="8"/>
      <c r="D103" s="8" t="s">
        <v>833</v>
      </c>
      <c r="E103" s="8" t="s">
        <v>2451</v>
      </c>
      <c r="F103" s="8" t="s">
        <v>2451</v>
      </c>
      <c r="G103" s="8" t="s">
        <v>2451</v>
      </c>
    </row>
    <row r="104" spans="1:7" outlineLevel="2" x14ac:dyDescent="0.35">
      <c r="A104" s="8" t="s">
        <v>2451</v>
      </c>
      <c r="B104" s="8" t="s">
        <v>2451</v>
      </c>
      <c r="C104" s="8"/>
      <c r="D104" s="8" t="s">
        <v>834</v>
      </c>
      <c r="E104" s="8" t="s">
        <v>2451</v>
      </c>
      <c r="F104" s="8" t="s">
        <v>2451</v>
      </c>
      <c r="G104" s="8" t="s">
        <v>2451</v>
      </c>
    </row>
    <row r="105" spans="1:7" outlineLevel="1" x14ac:dyDescent="0.35">
      <c r="A105" s="8" t="s">
        <v>107</v>
      </c>
      <c r="B105" s="8" t="s">
        <v>122</v>
      </c>
      <c r="C105" s="8">
        <v>4</v>
      </c>
      <c r="D105" s="8" t="s">
        <v>2451</v>
      </c>
      <c r="E105" s="8" t="s">
        <v>2451</v>
      </c>
      <c r="F105" s="8" t="s">
        <v>2451</v>
      </c>
      <c r="G105" s="8" t="s">
        <v>2451</v>
      </c>
    </row>
    <row r="106" spans="1:7" outlineLevel="2" x14ac:dyDescent="0.35">
      <c r="A106" s="8" t="s">
        <v>2451</v>
      </c>
      <c r="B106" s="8" t="s">
        <v>2451</v>
      </c>
      <c r="C106" s="8"/>
      <c r="D106" s="8" t="s">
        <v>835</v>
      </c>
      <c r="E106" s="8" t="s">
        <v>2451</v>
      </c>
      <c r="F106" s="8" t="s">
        <v>2451</v>
      </c>
      <c r="G106" s="8" t="s">
        <v>2451</v>
      </c>
    </row>
    <row r="107" spans="1:7" outlineLevel="2" x14ac:dyDescent="0.35">
      <c r="A107" s="8" t="s">
        <v>2451</v>
      </c>
      <c r="B107" s="8" t="s">
        <v>2451</v>
      </c>
      <c r="C107" s="8"/>
      <c r="D107" s="8" t="s">
        <v>836</v>
      </c>
      <c r="E107" s="8" t="s">
        <v>2451</v>
      </c>
      <c r="F107" s="8" t="s">
        <v>2451</v>
      </c>
      <c r="G107" s="8" t="s">
        <v>2451</v>
      </c>
    </row>
    <row r="108" spans="1:7" outlineLevel="2" x14ac:dyDescent="0.35">
      <c r="A108" s="8" t="s">
        <v>2451</v>
      </c>
      <c r="B108" s="8" t="s">
        <v>2451</v>
      </c>
      <c r="C108" s="8"/>
      <c r="D108" s="8" t="s">
        <v>837</v>
      </c>
      <c r="E108" s="8" t="s">
        <v>2451</v>
      </c>
      <c r="F108" s="8" t="s">
        <v>2451</v>
      </c>
      <c r="G108" s="8" t="s">
        <v>2451</v>
      </c>
    </row>
    <row r="109" spans="1:7" outlineLevel="2" x14ac:dyDescent="0.35">
      <c r="A109" s="8" t="s">
        <v>2451</v>
      </c>
      <c r="B109" s="8" t="s">
        <v>2451</v>
      </c>
      <c r="C109" s="8"/>
      <c r="D109" s="8" t="s">
        <v>838</v>
      </c>
      <c r="E109" s="8" t="s">
        <v>2451</v>
      </c>
      <c r="F109" s="8" t="s">
        <v>2451</v>
      </c>
      <c r="G109" s="8" t="s">
        <v>2451</v>
      </c>
    </row>
    <row r="110" spans="1:7" outlineLevel="1" x14ac:dyDescent="0.35">
      <c r="A110" s="8" t="s">
        <v>128</v>
      </c>
      <c r="B110" s="8" t="s">
        <v>129</v>
      </c>
      <c r="C110" s="8">
        <v>3</v>
      </c>
      <c r="D110" s="8" t="s">
        <v>2451</v>
      </c>
      <c r="E110" s="8" t="s">
        <v>2451</v>
      </c>
      <c r="F110" s="8" t="s">
        <v>2451</v>
      </c>
      <c r="G110" s="8" t="s">
        <v>2451</v>
      </c>
    </row>
    <row r="111" spans="1:7" outlineLevel="2" x14ac:dyDescent="0.35">
      <c r="A111" s="8" t="s">
        <v>2451</v>
      </c>
      <c r="B111" s="8" t="s">
        <v>2451</v>
      </c>
      <c r="C111" s="8"/>
      <c r="D111" s="8" t="s">
        <v>839</v>
      </c>
      <c r="E111" s="8" t="s">
        <v>2451</v>
      </c>
      <c r="F111" s="8" t="s">
        <v>2451</v>
      </c>
      <c r="G111" s="8" t="s">
        <v>2451</v>
      </c>
    </row>
    <row r="112" spans="1:7" outlineLevel="2" x14ac:dyDescent="0.35">
      <c r="A112" s="8" t="s">
        <v>2451</v>
      </c>
      <c r="B112" s="8" t="s">
        <v>2451</v>
      </c>
      <c r="C112" s="8"/>
      <c r="D112" s="8" t="s">
        <v>840</v>
      </c>
      <c r="E112" s="8" t="s">
        <v>2451</v>
      </c>
      <c r="F112" s="8" t="s">
        <v>2451</v>
      </c>
      <c r="G112" s="8" t="s">
        <v>2451</v>
      </c>
    </row>
    <row r="113" spans="1:7" outlineLevel="2" x14ac:dyDescent="0.35">
      <c r="A113" s="8" t="s">
        <v>2451</v>
      </c>
      <c r="B113" s="8" t="s">
        <v>2451</v>
      </c>
      <c r="C113" s="8"/>
      <c r="D113" s="8" t="s">
        <v>841</v>
      </c>
      <c r="E113" s="8" t="s">
        <v>2451</v>
      </c>
      <c r="F113" s="8" t="s">
        <v>2451</v>
      </c>
      <c r="G113" s="8" t="s">
        <v>2451</v>
      </c>
    </row>
    <row r="114" spans="1:7" outlineLevel="1" x14ac:dyDescent="0.35">
      <c r="A114" s="8" t="s">
        <v>39</v>
      </c>
      <c r="B114" s="8" t="s">
        <v>135</v>
      </c>
      <c r="C114" s="8">
        <v>6</v>
      </c>
      <c r="D114" s="8" t="s">
        <v>2451</v>
      </c>
      <c r="E114" s="8" t="s">
        <v>2451</v>
      </c>
      <c r="F114" s="8" t="s">
        <v>2451</v>
      </c>
      <c r="G114" s="8" t="s">
        <v>2451</v>
      </c>
    </row>
    <row r="115" spans="1:7" outlineLevel="2" x14ac:dyDescent="0.35">
      <c r="A115" s="8" t="s">
        <v>2451</v>
      </c>
      <c r="B115" s="8" t="s">
        <v>2451</v>
      </c>
      <c r="C115" s="8"/>
      <c r="D115" s="8" t="s">
        <v>842</v>
      </c>
      <c r="E115" s="8" t="s">
        <v>2451</v>
      </c>
      <c r="F115" s="8" t="s">
        <v>2451</v>
      </c>
      <c r="G115" s="8" t="s">
        <v>2451</v>
      </c>
    </row>
    <row r="116" spans="1:7" outlineLevel="2" x14ac:dyDescent="0.35">
      <c r="A116" s="8" t="s">
        <v>2451</v>
      </c>
      <c r="B116" s="8" t="s">
        <v>2451</v>
      </c>
      <c r="C116" s="8"/>
      <c r="D116" s="8" t="s">
        <v>843</v>
      </c>
      <c r="E116" s="8" t="s">
        <v>2451</v>
      </c>
      <c r="F116" s="8" t="s">
        <v>2451</v>
      </c>
      <c r="G116" s="8" t="s">
        <v>2451</v>
      </c>
    </row>
    <row r="117" spans="1:7" outlineLevel="2" x14ac:dyDescent="0.35">
      <c r="A117" s="8" t="s">
        <v>2451</v>
      </c>
      <c r="B117" s="8" t="s">
        <v>2451</v>
      </c>
      <c r="C117" s="8"/>
      <c r="D117" s="8" t="s">
        <v>844</v>
      </c>
      <c r="E117" s="8" t="s">
        <v>2451</v>
      </c>
      <c r="F117" s="8" t="s">
        <v>2451</v>
      </c>
      <c r="G117" s="8" t="s">
        <v>2451</v>
      </c>
    </row>
    <row r="118" spans="1:7" outlineLevel="2" x14ac:dyDescent="0.35">
      <c r="A118" s="8" t="s">
        <v>2451</v>
      </c>
      <c r="B118" s="8" t="s">
        <v>2451</v>
      </c>
      <c r="C118" s="8"/>
      <c r="D118" s="8" t="s">
        <v>845</v>
      </c>
      <c r="E118" s="8" t="s">
        <v>2451</v>
      </c>
      <c r="F118" s="8" t="s">
        <v>2451</v>
      </c>
      <c r="G118" s="8" t="s">
        <v>2451</v>
      </c>
    </row>
    <row r="119" spans="1:7" outlineLevel="2" x14ac:dyDescent="0.35">
      <c r="A119" s="8" t="s">
        <v>2451</v>
      </c>
      <c r="B119" s="8" t="s">
        <v>2451</v>
      </c>
      <c r="C119" s="8"/>
      <c r="D119" s="8" t="s">
        <v>846</v>
      </c>
      <c r="E119" s="8" t="s">
        <v>2451</v>
      </c>
      <c r="F119" s="8" t="s">
        <v>2451</v>
      </c>
      <c r="G119" s="8" t="s">
        <v>2451</v>
      </c>
    </row>
    <row r="120" spans="1:7" outlineLevel="2" x14ac:dyDescent="0.35">
      <c r="A120" s="8" t="s">
        <v>2451</v>
      </c>
      <c r="B120" s="8" t="s">
        <v>2451</v>
      </c>
      <c r="C120" s="8"/>
      <c r="D120" s="8" t="s">
        <v>847</v>
      </c>
      <c r="E120" s="8" t="s">
        <v>2451</v>
      </c>
      <c r="F120" s="8" t="s">
        <v>2451</v>
      </c>
      <c r="G120" s="8" t="s">
        <v>2451</v>
      </c>
    </row>
    <row r="121" spans="1:7" outlineLevel="1" x14ac:dyDescent="0.35">
      <c r="A121" s="8" t="s">
        <v>39</v>
      </c>
      <c r="B121" s="8" t="s">
        <v>2456</v>
      </c>
      <c r="C121" s="8">
        <v>3</v>
      </c>
      <c r="D121" s="8" t="s">
        <v>2451</v>
      </c>
      <c r="E121" s="8" t="s">
        <v>2451</v>
      </c>
      <c r="F121" s="8" t="s">
        <v>2451</v>
      </c>
      <c r="G121" s="8" t="s">
        <v>2451</v>
      </c>
    </row>
    <row r="122" spans="1:7" outlineLevel="2" x14ac:dyDescent="0.35">
      <c r="A122" s="8" t="s">
        <v>2451</v>
      </c>
      <c r="B122" s="8" t="s">
        <v>2451</v>
      </c>
      <c r="C122" s="8"/>
      <c r="D122" s="8" t="s">
        <v>848</v>
      </c>
      <c r="E122" s="8" t="s">
        <v>2451</v>
      </c>
      <c r="F122" s="8" t="s">
        <v>2451</v>
      </c>
      <c r="G122" s="8" t="s">
        <v>2451</v>
      </c>
    </row>
    <row r="123" spans="1:7" outlineLevel="2" x14ac:dyDescent="0.35">
      <c r="A123" s="8" t="s">
        <v>2451</v>
      </c>
      <c r="B123" s="8" t="s">
        <v>2451</v>
      </c>
      <c r="C123" s="8"/>
      <c r="D123" s="8" t="s">
        <v>849</v>
      </c>
      <c r="E123" s="8" t="s">
        <v>2451</v>
      </c>
      <c r="F123" s="8" t="s">
        <v>2451</v>
      </c>
      <c r="G123" s="8" t="s">
        <v>2451</v>
      </c>
    </row>
    <row r="124" spans="1:7" outlineLevel="2" x14ac:dyDescent="0.35">
      <c r="A124" s="8" t="s">
        <v>2451</v>
      </c>
      <c r="B124" s="8" t="s">
        <v>2451</v>
      </c>
      <c r="C124" s="8"/>
      <c r="D124" s="8" t="s">
        <v>850</v>
      </c>
      <c r="E124" s="8" t="s">
        <v>2451</v>
      </c>
      <c r="F124" s="8" t="s">
        <v>2451</v>
      </c>
      <c r="G124" s="8" t="s">
        <v>2451</v>
      </c>
    </row>
    <row r="125" spans="1:7" outlineLevel="1" x14ac:dyDescent="0.35">
      <c r="A125" s="8" t="s">
        <v>39</v>
      </c>
      <c r="B125" s="8" t="s">
        <v>145</v>
      </c>
      <c r="C125" s="8">
        <v>8</v>
      </c>
      <c r="D125" s="8" t="s">
        <v>2451</v>
      </c>
      <c r="E125" s="8" t="s">
        <v>2451</v>
      </c>
      <c r="F125" s="8" t="s">
        <v>2451</v>
      </c>
      <c r="G125" s="8" t="s">
        <v>2451</v>
      </c>
    </row>
    <row r="126" spans="1:7" outlineLevel="2" x14ac:dyDescent="0.35">
      <c r="A126" s="8" t="s">
        <v>2451</v>
      </c>
      <c r="B126" s="8" t="s">
        <v>2451</v>
      </c>
      <c r="C126" s="8"/>
      <c r="D126" s="8" t="s">
        <v>851</v>
      </c>
      <c r="E126" s="8" t="s">
        <v>2451</v>
      </c>
      <c r="F126" s="8" t="s">
        <v>2451</v>
      </c>
      <c r="G126" s="8" t="s">
        <v>2451</v>
      </c>
    </row>
    <row r="127" spans="1:7" outlineLevel="2" x14ac:dyDescent="0.35">
      <c r="A127" s="8" t="s">
        <v>2451</v>
      </c>
      <c r="B127" s="8" t="s">
        <v>2451</v>
      </c>
      <c r="C127" s="8"/>
      <c r="D127" s="8" t="s">
        <v>852</v>
      </c>
      <c r="E127" s="8" t="s">
        <v>2451</v>
      </c>
      <c r="F127" s="8" t="s">
        <v>2451</v>
      </c>
      <c r="G127" s="8" t="s">
        <v>2451</v>
      </c>
    </row>
    <row r="128" spans="1:7" outlineLevel="2" x14ac:dyDescent="0.35">
      <c r="A128" s="8" t="s">
        <v>2451</v>
      </c>
      <c r="B128" s="8" t="s">
        <v>2451</v>
      </c>
      <c r="C128" s="8"/>
      <c r="D128" s="8" t="s">
        <v>853</v>
      </c>
      <c r="E128" s="8" t="s">
        <v>2451</v>
      </c>
      <c r="F128" s="8" t="s">
        <v>2451</v>
      </c>
      <c r="G128" s="8" t="s">
        <v>2451</v>
      </c>
    </row>
    <row r="129" spans="1:7" outlineLevel="2" x14ac:dyDescent="0.35">
      <c r="A129" s="8" t="s">
        <v>2451</v>
      </c>
      <c r="B129" s="8" t="s">
        <v>2451</v>
      </c>
      <c r="C129" s="8"/>
      <c r="D129" s="8" t="s">
        <v>854</v>
      </c>
      <c r="E129" s="8" t="s">
        <v>2451</v>
      </c>
      <c r="F129" s="8" t="s">
        <v>2451</v>
      </c>
      <c r="G129" s="8" t="s">
        <v>2451</v>
      </c>
    </row>
    <row r="130" spans="1:7" outlineLevel="2" x14ac:dyDescent="0.35">
      <c r="A130" s="8" t="s">
        <v>2451</v>
      </c>
      <c r="B130" s="8" t="s">
        <v>2451</v>
      </c>
      <c r="C130" s="8"/>
      <c r="D130" s="8" t="s">
        <v>855</v>
      </c>
      <c r="E130" s="8" t="s">
        <v>2451</v>
      </c>
      <c r="F130" s="8" t="s">
        <v>2451</v>
      </c>
      <c r="G130" s="8" t="s">
        <v>2451</v>
      </c>
    </row>
    <row r="131" spans="1:7" outlineLevel="2" x14ac:dyDescent="0.35">
      <c r="A131" s="8" t="s">
        <v>2451</v>
      </c>
      <c r="B131" s="8" t="s">
        <v>2451</v>
      </c>
      <c r="C131" s="8"/>
      <c r="D131" s="8" t="s">
        <v>856</v>
      </c>
      <c r="E131" s="8" t="s">
        <v>2451</v>
      </c>
      <c r="F131" s="8" t="s">
        <v>2451</v>
      </c>
      <c r="G131" s="8" t="s">
        <v>2451</v>
      </c>
    </row>
    <row r="132" spans="1:7" outlineLevel="2" x14ac:dyDescent="0.35">
      <c r="A132" s="8" t="s">
        <v>2451</v>
      </c>
      <c r="B132" s="8" t="s">
        <v>2451</v>
      </c>
      <c r="C132" s="8"/>
      <c r="D132" s="8" t="s">
        <v>857</v>
      </c>
      <c r="E132" s="8" t="s">
        <v>2451</v>
      </c>
      <c r="F132" s="8" t="s">
        <v>2451</v>
      </c>
      <c r="G132" s="8" t="s">
        <v>2451</v>
      </c>
    </row>
    <row r="133" spans="1:7" outlineLevel="2" x14ac:dyDescent="0.35">
      <c r="A133" s="8" t="s">
        <v>2451</v>
      </c>
      <c r="B133" s="8" t="s">
        <v>2451</v>
      </c>
      <c r="C133" s="8"/>
      <c r="D133" s="8" t="s">
        <v>858</v>
      </c>
      <c r="E133" s="8" t="s">
        <v>2451</v>
      </c>
      <c r="F133" s="8" t="s">
        <v>2451</v>
      </c>
      <c r="G133" s="8" t="s">
        <v>2451</v>
      </c>
    </row>
    <row r="134" spans="1:7" outlineLevel="1" x14ac:dyDescent="0.35">
      <c r="A134" s="8" t="s">
        <v>39</v>
      </c>
      <c r="B134" s="8" t="s">
        <v>151</v>
      </c>
      <c r="C134" s="8">
        <v>7</v>
      </c>
      <c r="D134" s="8" t="s">
        <v>2451</v>
      </c>
      <c r="E134" s="8" t="s">
        <v>2451</v>
      </c>
      <c r="F134" s="8" t="s">
        <v>2451</v>
      </c>
      <c r="G134" s="8" t="s">
        <v>2451</v>
      </c>
    </row>
    <row r="135" spans="1:7" outlineLevel="2" x14ac:dyDescent="0.35">
      <c r="A135" s="8" t="s">
        <v>2451</v>
      </c>
      <c r="B135" s="8" t="s">
        <v>2451</v>
      </c>
      <c r="C135" s="8"/>
      <c r="D135" s="8" t="s">
        <v>859</v>
      </c>
      <c r="E135" s="8" t="s">
        <v>2451</v>
      </c>
      <c r="F135" s="8" t="s">
        <v>2451</v>
      </c>
      <c r="G135" s="8" t="s">
        <v>2451</v>
      </c>
    </row>
    <row r="136" spans="1:7" outlineLevel="2" x14ac:dyDescent="0.35">
      <c r="A136" s="8" t="s">
        <v>2451</v>
      </c>
      <c r="B136" s="8" t="s">
        <v>2451</v>
      </c>
      <c r="C136" s="8"/>
      <c r="D136" s="8" t="s">
        <v>860</v>
      </c>
      <c r="E136" s="8" t="s">
        <v>2451</v>
      </c>
      <c r="F136" s="8" t="s">
        <v>2451</v>
      </c>
      <c r="G136" s="8" t="s">
        <v>2451</v>
      </c>
    </row>
    <row r="137" spans="1:7" outlineLevel="2" x14ac:dyDescent="0.35">
      <c r="A137" s="8" t="s">
        <v>2451</v>
      </c>
      <c r="B137" s="8" t="s">
        <v>2451</v>
      </c>
      <c r="C137" s="8"/>
      <c r="D137" s="8" t="s">
        <v>861</v>
      </c>
      <c r="E137" s="8" t="s">
        <v>2451</v>
      </c>
      <c r="F137" s="8" t="s">
        <v>2451</v>
      </c>
      <c r="G137" s="8" t="s">
        <v>2451</v>
      </c>
    </row>
    <row r="138" spans="1:7" outlineLevel="2" x14ac:dyDescent="0.35">
      <c r="A138" s="8" t="s">
        <v>2451</v>
      </c>
      <c r="B138" s="8" t="s">
        <v>2451</v>
      </c>
      <c r="C138" s="8"/>
      <c r="D138" s="8" t="s">
        <v>862</v>
      </c>
      <c r="E138" s="8" t="s">
        <v>2451</v>
      </c>
      <c r="F138" s="8" t="s">
        <v>2451</v>
      </c>
      <c r="G138" s="8" t="s">
        <v>2451</v>
      </c>
    </row>
    <row r="139" spans="1:7" outlineLevel="2" x14ac:dyDescent="0.35">
      <c r="A139" s="8" t="s">
        <v>2451</v>
      </c>
      <c r="B139" s="8" t="s">
        <v>2451</v>
      </c>
      <c r="C139" s="8"/>
      <c r="D139" s="8" t="s">
        <v>863</v>
      </c>
      <c r="E139" s="8" t="s">
        <v>2451</v>
      </c>
      <c r="F139" s="8" t="s">
        <v>2451</v>
      </c>
      <c r="G139" s="8" t="s">
        <v>2451</v>
      </c>
    </row>
    <row r="140" spans="1:7" outlineLevel="2" x14ac:dyDescent="0.35">
      <c r="A140" s="8" t="s">
        <v>2451</v>
      </c>
      <c r="B140" s="8" t="s">
        <v>2451</v>
      </c>
      <c r="C140" s="8"/>
      <c r="D140" s="8" t="s">
        <v>864</v>
      </c>
      <c r="E140" s="8" t="s">
        <v>2451</v>
      </c>
      <c r="F140" s="8" t="s">
        <v>2451</v>
      </c>
      <c r="G140" s="8" t="s">
        <v>2451</v>
      </c>
    </row>
    <row r="141" spans="1:7" outlineLevel="2" x14ac:dyDescent="0.35">
      <c r="A141" s="8" t="s">
        <v>2451</v>
      </c>
      <c r="B141" s="8" t="s">
        <v>2451</v>
      </c>
      <c r="C141" s="8"/>
      <c r="D141" s="8" t="s">
        <v>865</v>
      </c>
      <c r="E141" s="8" t="s">
        <v>2451</v>
      </c>
      <c r="F141" s="8" t="s">
        <v>2451</v>
      </c>
      <c r="G141" s="8" t="s">
        <v>2451</v>
      </c>
    </row>
    <row r="142" spans="1:7" outlineLevel="1" x14ac:dyDescent="0.35">
      <c r="A142" s="8" t="s">
        <v>156</v>
      </c>
      <c r="B142" s="8" t="s">
        <v>157</v>
      </c>
      <c r="C142" s="8">
        <v>7</v>
      </c>
      <c r="D142" s="8" t="s">
        <v>2451</v>
      </c>
      <c r="E142" s="8" t="s">
        <v>2451</v>
      </c>
      <c r="F142" s="8" t="s">
        <v>2451</v>
      </c>
      <c r="G142" s="8" t="s">
        <v>2451</v>
      </c>
    </row>
    <row r="143" spans="1:7" outlineLevel="2" x14ac:dyDescent="0.35">
      <c r="A143" s="8" t="s">
        <v>2451</v>
      </c>
      <c r="B143" s="8" t="s">
        <v>2451</v>
      </c>
      <c r="C143" s="8"/>
      <c r="D143" s="8" t="s">
        <v>866</v>
      </c>
      <c r="E143" s="8" t="s">
        <v>2451</v>
      </c>
      <c r="F143" s="8" t="s">
        <v>2451</v>
      </c>
      <c r="G143" s="8" t="s">
        <v>2451</v>
      </c>
    </row>
    <row r="144" spans="1:7" outlineLevel="2" x14ac:dyDescent="0.35">
      <c r="A144" s="8" t="s">
        <v>2451</v>
      </c>
      <c r="B144" s="8" t="s">
        <v>2451</v>
      </c>
      <c r="C144" s="8"/>
      <c r="D144" s="8" t="s">
        <v>867</v>
      </c>
      <c r="E144" s="8" t="s">
        <v>2451</v>
      </c>
      <c r="F144" s="8" t="s">
        <v>2451</v>
      </c>
      <c r="G144" s="8" t="s">
        <v>2451</v>
      </c>
    </row>
    <row r="145" spans="1:7" outlineLevel="2" x14ac:dyDescent="0.35">
      <c r="A145" s="8" t="s">
        <v>2451</v>
      </c>
      <c r="B145" s="8" t="s">
        <v>2451</v>
      </c>
      <c r="C145" s="8"/>
      <c r="D145" s="8" t="s">
        <v>868</v>
      </c>
      <c r="E145" s="8" t="s">
        <v>2451</v>
      </c>
      <c r="F145" s="8" t="s">
        <v>2451</v>
      </c>
      <c r="G145" s="8" t="s">
        <v>2451</v>
      </c>
    </row>
    <row r="146" spans="1:7" outlineLevel="2" x14ac:dyDescent="0.35">
      <c r="A146" s="8" t="s">
        <v>2451</v>
      </c>
      <c r="B146" s="8" t="s">
        <v>2451</v>
      </c>
      <c r="C146" s="8"/>
      <c r="D146" s="8" t="s">
        <v>869</v>
      </c>
      <c r="E146" s="8" t="s">
        <v>2451</v>
      </c>
      <c r="F146" s="8" t="s">
        <v>2451</v>
      </c>
      <c r="G146" s="8" t="s">
        <v>2451</v>
      </c>
    </row>
    <row r="147" spans="1:7" outlineLevel="2" x14ac:dyDescent="0.35">
      <c r="A147" s="8" t="s">
        <v>2451</v>
      </c>
      <c r="B147" s="8" t="s">
        <v>2451</v>
      </c>
      <c r="C147" s="8"/>
      <c r="D147" s="8" t="s">
        <v>870</v>
      </c>
      <c r="E147" s="8" t="s">
        <v>2451</v>
      </c>
      <c r="F147" s="8" t="s">
        <v>2451</v>
      </c>
      <c r="G147" s="8" t="s">
        <v>2451</v>
      </c>
    </row>
    <row r="148" spans="1:7" outlineLevel="2" x14ac:dyDescent="0.35">
      <c r="A148" s="8" t="s">
        <v>2451</v>
      </c>
      <c r="B148" s="8" t="s">
        <v>2451</v>
      </c>
      <c r="C148" s="8"/>
      <c r="D148" s="8" t="s">
        <v>871</v>
      </c>
      <c r="E148" s="8" t="s">
        <v>2451</v>
      </c>
      <c r="F148" s="8" t="s">
        <v>2451</v>
      </c>
      <c r="G148" s="8" t="s">
        <v>2451</v>
      </c>
    </row>
    <row r="149" spans="1:7" outlineLevel="2" x14ac:dyDescent="0.35">
      <c r="A149" s="8" t="s">
        <v>2451</v>
      </c>
      <c r="B149" s="8" t="s">
        <v>2451</v>
      </c>
      <c r="C149" s="8"/>
      <c r="D149" s="8" t="s">
        <v>872</v>
      </c>
      <c r="E149" s="8" t="s">
        <v>2451</v>
      </c>
      <c r="F149" s="8" t="s">
        <v>2451</v>
      </c>
      <c r="G149" s="8" t="s">
        <v>2451</v>
      </c>
    </row>
    <row r="150" spans="1:7" outlineLevel="1" x14ac:dyDescent="0.35">
      <c r="A150" s="8" t="s">
        <v>49</v>
      </c>
      <c r="B150" s="8" t="s">
        <v>2457</v>
      </c>
      <c r="C150" s="8">
        <v>5</v>
      </c>
      <c r="D150" s="8" t="s">
        <v>2451</v>
      </c>
      <c r="E150" s="8" t="s">
        <v>2451</v>
      </c>
      <c r="F150" s="8" t="s">
        <v>2451</v>
      </c>
      <c r="G150" s="8" t="s">
        <v>2451</v>
      </c>
    </row>
    <row r="151" spans="1:7" outlineLevel="2" x14ac:dyDescent="0.35">
      <c r="A151" s="8" t="s">
        <v>2451</v>
      </c>
      <c r="B151" s="8" t="s">
        <v>2451</v>
      </c>
      <c r="C151" s="8"/>
      <c r="D151" s="8" t="s">
        <v>873</v>
      </c>
      <c r="E151" s="8" t="s">
        <v>2451</v>
      </c>
      <c r="F151" s="8" t="s">
        <v>2451</v>
      </c>
      <c r="G151" s="8" t="s">
        <v>2451</v>
      </c>
    </row>
    <row r="152" spans="1:7" outlineLevel="2" x14ac:dyDescent="0.35">
      <c r="A152" s="8" t="s">
        <v>2451</v>
      </c>
      <c r="B152" s="8" t="s">
        <v>2451</v>
      </c>
      <c r="C152" s="8"/>
      <c r="D152" s="8" t="s">
        <v>874</v>
      </c>
      <c r="E152" s="8" t="s">
        <v>2451</v>
      </c>
      <c r="F152" s="8" t="s">
        <v>2451</v>
      </c>
      <c r="G152" s="8" t="s">
        <v>2451</v>
      </c>
    </row>
    <row r="153" spans="1:7" outlineLevel="2" x14ac:dyDescent="0.35">
      <c r="A153" s="8" t="s">
        <v>2451</v>
      </c>
      <c r="B153" s="8" t="s">
        <v>2451</v>
      </c>
      <c r="C153" s="8"/>
      <c r="D153" s="8" t="s">
        <v>875</v>
      </c>
      <c r="E153" s="8" t="s">
        <v>2451</v>
      </c>
      <c r="F153" s="8" t="s">
        <v>2451</v>
      </c>
      <c r="G153" s="8" t="s">
        <v>2451</v>
      </c>
    </row>
    <row r="154" spans="1:7" outlineLevel="2" x14ac:dyDescent="0.35">
      <c r="A154" s="8" t="s">
        <v>2451</v>
      </c>
      <c r="B154" s="8" t="s">
        <v>2451</v>
      </c>
      <c r="C154" s="8"/>
      <c r="D154" s="8" t="s">
        <v>876</v>
      </c>
      <c r="E154" s="8" t="s">
        <v>2451</v>
      </c>
      <c r="F154" s="8" t="s">
        <v>2451</v>
      </c>
      <c r="G154" s="8" t="s">
        <v>2451</v>
      </c>
    </row>
    <row r="155" spans="1:7" outlineLevel="2" x14ac:dyDescent="0.35">
      <c r="A155" s="8" t="s">
        <v>2451</v>
      </c>
      <c r="B155" s="8" t="s">
        <v>2451</v>
      </c>
      <c r="C155" s="8"/>
      <c r="D155" s="8" t="s">
        <v>877</v>
      </c>
      <c r="E155" s="8" t="s">
        <v>2451</v>
      </c>
      <c r="F155" s="8" t="s">
        <v>2451</v>
      </c>
      <c r="G155" s="8" t="s">
        <v>2451</v>
      </c>
    </row>
    <row r="156" spans="1:7" outlineLevel="1" x14ac:dyDescent="0.35">
      <c r="A156" s="8" t="s">
        <v>49</v>
      </c>
      <c r="B156" s="8" t="s">
        <v>2458</v>
      </c>
      <c r="C156" s="8">
        <v>4</v>
      </c>
      <c r="D156" s="8" t="s">
        <v>2451</v>
      </c>
      <c r="E156" s="8" t="s">
        <v>2451</v>
      </c>
      <c r="F156" s="8" t="s">
        <v>2451</v>
      </c>
      <c r="G156" s="8" t="s">
        <v>2451</v>
      </c>
    </row>
    <row r="157" spans="1:7" outlineLevel="2" x14ac:dyDescent="0.35">
      <c r="A157" s="8" t="s">
        <v>2451</v>
      </c>
      <c r="B157" s="8" t="s">
        <v>2451</v>
      </c>
      <c r="C157" s="8"/>
      <c r="D157" s="8" t="s">
        <v>878</v>
      </c>
      <c r="E157" s="8" t="s">
        <v>2451</v>
      </c>
      <c r="F157" s="8" t="s">
        <v>2451</v>
      </c>
      <c r="G157" s="8" t="s">
        <v>2451</v>
      </c>
    </row>
    <row r="158" spans="1:7" outlineLevel="2" x14ac:dyDescent="0.35">
      <c r="A158" s="8" t="s">
        <v>2451</v>
      </c>
      <c r="B158" s="8" t="s">
        <v>2451</v>
      </c>
      <c r="C158" s="8"/>
      <c r="D158" s="8" t="s">
        <v>879</v>
      </c>
      <c r="E158" s="8" t="s">
        <v>2451</v>
      </c>
      <c r="F158" s="8" t="s">
        <v>2451</v>
      </c>
      <c r="G158" s="8" t="s">
        <v>2451</v>
      </c>
    </row>
    <row r="159" spans="1:7" outlineLevel="2" x14ac:dyDescent="0.35">
      <c r="A159" s="8" t="s">
        <v>2451</v>
      </c>
      <c r="B159" s="8" t="s">
        <v>2451</v>
      </c>
      <c r="C159" s="8"/>
      <c r="D159" s="8" t="s">
        <v>880</v>
      </c>
      <c r="E159" s="8" t="s">
        <v>2451</v>
      </c>
      <c r="F159" s="8" t="s">
        <v>2451</v>
      </c>
      <c r="G159" s="8" t="s">
        <v>2451</v>
      </c>
    </row>
    <row r="160" spans="1:7" outlineLevel="2" x14ac:dyDescent="0.35">
      <c r="A160" s="8" t="s">
        <v>2451</v>
      </c>
      <c r="B160" s="8" t="s">
        <v>2451</v>
      </c>
      <c r="C160" s="8"/>
      <c r="D160" s="8" t="s">
        <v>881</v>
      </c>
      <c r="E160" s="8" t="s">
        <v>2451</v>
      </c>
      <c r="F160" s="8" t="s">
        <v>2451</v>
      </c>
      <c r="G160" s="8" t="s">
        <v>2451</v>
      </c>
    </row>
    <row r="161" spans="1:7" outlineLevel="1" x14ac:dyDescent="0.35">
      <c r="A161" s="8" t="s">
        <v>49</v>
      </c>
      <c r="B161" s="8" t="s">
        <v>171</v>
      </c>
      <c r="C161" s="8">
        <v>4</v>
      </c>
      <c r="D161" s="8" t="s">
        <v>2451</v>
      </c>
      <c r="E161" s="8" t="s">
        <v>2451</v>
      </c>
      <c r="F161" s="8" t="s">
        <v>2451</v>
      </c>
      <c r="G161" s="8" t="s">
        <v>2451</v>
      </c>
    </row>
    <row r="162" spans="1:7" outlineLevel="2" x14ac:dyDescent="0.35">
      <c r="A162" s="8" t="s">
        <v>2451</v>
      </c>
      <c r="B162" s="8" t="s">
        <v>2451</v>
      </c>
      <c r="C162" s="8"/>
      <c r="D162" s="8" t="s">
        <v>882</v>
      </c>
      <c r="E162" s="8" t="s">
        <v>2451</v>
      </c>
      <c r="F162" s="8" t="s">
        <v>2451</v>
      </c>
      <c r="G162" s="8" t="s">
        <v>2451</v>
      </c>
    </row>
    <row r="163" spans="1:7" outlineLevel="2" x14ac:dyDescent="0.35">
      <c r="A163" s="8" t="s">
        <v>2451</v>
      </c>
      <c r="B163" s="8" t="s">
        <v>2451</v>
      </c>
      <c r="C163" s="8"/>
      <c r="D163" s="8" t="s">
        <v>883</v>
      </c>
      <c r="E163" s="8" t="s">
        <v>2451</v>
      </c>
      <c r="F163" s="8" t="s">
        <v>2451</v>
      </c>
      <c r="G163" s="8" t="s">
        <v>2451</v>
      </c>
    </row>
    <row r="164" spans="1:7" outlineLevel="2" x14ac:dyDescent="0.35">
      <c r="A164" s="8" t="s">
        <v>2451</v>
      </c>
      <c r="B164" s="8" t="s">
        <v>2451</v>
      </c>
      <c r="C164" s="8"/>
      <c r="D164" s="8" t="s">
        <v>884</v>
      </c>
      <c r="E164" s="8" t="s">
        <v>2451</v>
      </c>
      <c r="F164" s="8" t="s">
        <v>2451</v>
      </c>
      <c r="G164" s="8" t="s">
        <v>2451</v>
      </c>
    </row>
    <row r="165" spans="1:7" outlineLevel="2" x14ac:dyDescent="0.35">
      <c r="A165" s="8" t="s">
        <v>2451</v>
      </c>
      <c r="B165" s="8" t="s">
        <v>2451</v>
      </c>
      <c r="C165" s="8"/>
      <c r="D165" s="8" t="s">
        <v>885</v>
      </c>
      <c r="E165" s="8" t="s">
        <v>2451</v>
      </c>
      <c r="F165" s="8" t="s">
        <v>2451</v>
      </c>
      <c r="G165" s="8" t="s">
        <v>2451</v>
      </c>
    </row>
    <row r="166" spans="1:7" outlineLevel="1" x14ac:dyDescent="0.35">
      <c r="A166" s="8" t="s">
        <v>55</v>
      </c>
      <c r="B166" s="8" t="s">
        <v>176</v>
      </c>
      <c r="C166" s="8">
        <v>10</v>
      </c>
      <c r="D166" s="8" t="s">
        <v>2451</v>
      </c>
      <c r="E166" s="8" t="s">
        <v>2451</v>
      </c>
      <c r="F166" s="8" t="s">
        <v>2451</v>
      </c>
      <c r="G166" s="8" t="s">
        <v>2451</v>
      </c>
    </row>
    <row r="167" spans="1:7" outlineLevel="2" x14ac:dyDescent="0.35">
      <c r="A167" s="8" t="s">
        <v>2451</v>
      </c>
      <c r="B167" s="8" t="s">
        <v>2451</v>
      </c>
      <c r="C167" s="8"/>
      <c r="D167" s="8" t="s">
        <v>886</v>
      </c>
      <c r="E167" s="8" t="s">
        <v>2451</v>
      </c>
      <c r="F167" s="8" t="s">
        <v>2451</v>
      </c>
      <c r="G167" s="8" t="s">
        <v>2451</v>
      </c>
    </row>
    <row r="168" spans="1:7" outlineLevel="2" x14ac:dyDescent="0.35">
      <c r="A168" s="8" t="s">
        <v>2451</v>
      </c>
      <c r="B168" s="8" t="s">
        <v>2451</v>
      </c>
      <c r="C168" s="8"/>
      <c r="D168" s="8" t="s">
        <v>887</v>
      </c>
      <c r="E168" s="8" t="s">
        <v>2451</v>
      </c>
      <c r="F168" s="8" t="s">
        <v>2451</v>
      </c>
      <c r="G168" s="8" t="s">
        <v>2451</v>
      </c>
    </row>
    <row r="169" spans="1:7" outlineLevel="2" x14ac:dyDescent="0.35">
      <c r="A169" s="8" t="s">
        <v>2451</v>
      </c>
      <c r="B169" s="8" t="s">
        <v>2451</v>
      </c>
      <c r="C169" s="8"/>
      <c r="D169" s="8" t="s">
        <v>888</v>
      </c>
      <c r="E169" s="8" t="s">
        <v>2451</v>
      </c>
      <c r="F169" s="8" t="s">
        <v>2451</v>
      </c>
      <c r="G169" s="8" t="s">
        <v>2451</v>
      </c>
    </row>
    <row r="170" spans="1:7" outlineLevel="2" x14ac:dyDescent="0.35">
      <c r="A170" s="8" t="s">
        <v>2451</v>
      </c>
      <c r="B170" s="8" t="s">
        <v>2451</v>
      </c>
      <c r="C170" s="8"/>
      <c r="D170" s="8" t="s">
        <v>889</v>
      </c>
      <c r="E170" s="8" t="s">
        <v>2451</v>
      </c>
      <c r="F170" s="8" t="s">
        <v>2451</v>
      </c>
      <c r="G170" s="8" t="s">
        <v>2451</v>
      </c>
    </row>
    <row r="171" spans="1:7" outlineLevel="2" x14ac:dyDescent="0.35">
      <c r="A171" s="8" t="s">
        <v>2451</v>
      </c>
      <c r="B171" s="8" t="s">
        <v>2451</v>
      </c>
      <c r="C171" s="8"/>
      <c r="D171" s="8" t="s">
        <v>890</v>
      </c>
      <c r="E171" s="8" t="s">
        <v>2451</v>
      </c>
      <c r="F171" s="8" t="s">
        <v>2451</v>
      </c>
      <c r="G171" s="8" t="s">
        <v>2451</v>
      </c>
    </row>
    <row r="172" spans="1:7" outlineLevel="2" x14ac:dyDescent="0.35">
      <c r="A172" s="8" t="s">
        <v>2451</v>
      </c>
      <c r="B172" s="8" t="s">
        <v>2451</v>
      </c>
      <c r="C172" s="8"/>
      <c r="D172" s="8" t="s">
        <v>891</v>
      </c>
      <c r="E172" s="8" t="s">
        <v>2451</v>
      </c>
      <c r="F172" s="8" t="s">
        <v>2451</v>
      </c>
      <c r="G172" s="8" t="s">
        <v>2451</v>
      </c>
    </row>
    <row r="173" spans="1:7" outlineLevel="2" x14ac:dyDescent="0.35">
      <c r="A173" s="8" t="s">
        <v>2451</v>
      </c>
      <c r="B173" s="8" t="s">
        <v>2451</v>
      </c>
      <c r="C173" s="8"/>
      <c r="D173" s="8" t="s">
        <v>892</v>
      </c>
      <c r="E173" s="8" t="s">
        <v>2451</v>
      </c>
      <c r="F173" s="8" t="s">
        <v>2451</v>
      </c>
      <c r="G173" s="8" t="s">
        <v>2451</v>
      </c>
    </row>
    <row r="174" spans="1:7" outlineLevel="2" x14ac:dyDescent="0.35">
      <c r="A174" s="8" t="s">
        <v>2451</v>
      </c>
      <c r="B174" s="8" t="s">
        <v>2451</v>
      </c>
      <c r="C174" s="8"/>
      <c r="D174" s="8" t="s">
        <v>893</v>
      </c>
      <c r="E174" s="8" t="s">
        <v>2451</v>
      </c>
      <c r="F174" s="8" t="s">
        <v>2451</v>
      </c>
      <c r="G174" s="8" t="s">
        <v>2451</v>
      </c>
    </row>
    <row r="175" spans="1:7" outlineLevel="2" x14ac:dyDescent="0.35">
      <c r="A175" s="8" t="s">
        <v>2451</v>
      </c>
      <c r="B175" s="8" t="s">
        <v>2451</v>
      </c>
      <c r="C175" s="8"/>
      <c r="D175" s="8" t="s">
        <v>894</v>
      </c>
      <c r="E175" s="8" t="s">
        <v>2451</v>
      </c>
      <c r="F175" s="8" t="s">
        <v>2451</v>
      </c>
      <c r="G175" s="8" t="s">
        <v>2451</v>
      </c>
    </row>
    <row r="176" spans="1:7" outlineLevel="2" x14ac:dyDescent="0.35">
      <c r="A176" s="8" t="s">
        <v>2451</v>
      </c>
      <c r="B176" s="8" t="s">
        <v>2451</v>
      </c>
      <c r="C176" s="8"/>
      <c r="D176" s="8" t="s">
        <v>895</v>
      </c>
      <c r="E176" s="8" t="s">
        <v>2451</v>
      </c>
      <c r="F176" s="8" t="s">
        <v>2451</v>
      </c>
      <c r="G176" s="8" t="s">
        <v>2451</v>
      </c>
    </row>
    <row r="177" spans="1:7" outlineLevel="1" x14ac:dyDescent="0.35">
      <c r="A177" s="8" t="s">
        <v>55</v>
      </c>
      <c r="B177" s="8" t="s">
        <v>181</v>
      </c>
      <c r="C177" s="8">
        <v>4</v>
      </c>
      <c r="D177" s="8" t="s">
        <v>2451</v>
      </c>
      <c r="E177" s="8" t="s">
        <v>2451</v>
      </c>
      <c r="F177" s="8" t="s">
        <v>2451</v>
      </c>
      <c r="G177" s="8" t="s">
        <v>2451</v>
      </c>
    </row>
    <row r="178" spans="1:7" outlineLevel="2" x14ac:dyDescent="0.35">
      <c r="A178" s="8" t="s">
        <v>2451</v>
      </c>
      <c r="B178" s="8" t="s">
        <v>2451</v>
      </c>
      <c r="C178" s="8"/>
      <c r="D178" s="8" t="s">
        <v>896</v>
      </c>
      <c r="E178" s="8" t="s">
        <v>2451</v>
      </c>
      <c r="F178" s="8" t="s">
        <v>2451</v>
      </c>
      <c r="G178" s="8" t="s">
        <v>2451</v>
      </c>
    </row>
    <row r="179" spans="1:7" outlineLevel="2" x14ac:dyDescent="0.35">
      <c r="A179" s="8" t="s">
        <v>2451</v>
      </c>
      <c r="B179" s="8" t="s">
        <v>2451</v>
      </c>
      <c r="C179" s="8"/>
      <c r="D179" s="8" t="s">
        <v>897</v>
      </c>
      <c r="E179" s="8" t="s">
        <v>2451</v>
      </c>
      <c r="F179" s="8" t="s">
        <v>2451</v>
      </c>
      <c r="G179" s="8" t="s">
        <v>2451</v>
      </c>
    </row>
    <row r="180" spans="1:7" outlineLevel="2" x14ac:dyDescent="0.35">
      <c r="A180" s="8" t="s">
        <v>2451</v>
      </c>
      <c r="B180" s="8" t="s">
        <v>2451</v>
      </c>
      <c r="C180" s="8"/>
      <c r="D180" s="8" t="s">
        <v>898</v>
      </c>
      <c r="E180" s="8" t="s">
        <v>2451</v>
      </c>
      <c r="F180" s="8" t="s">
        <v>2451</v>
      </c>
      <c r="G180" s="8" t="s">
        <v>2451</v>
      </c>
    </row>
    <row r="181" spans="1:7" outlineLevel="2" x14ac:dyDescent="0.35">
      <c r="A181" s="8" t="s">
        <v>2451</v>
      </c>
      <c r="B181" s="8" t="s">
        <v>2451</v>
      </c>
      <c r="C181" s="8"/>
      <c r="D181" s="8" t="s">
        <v>899</v>
      </c>
      <c r="E181" s="8" t="s">
        <v>2451</v>
      </c>
      <c r="F181" s="8" t="s">
        <v>2451</v>
      </c>
      <c r="G181" s="8" t="s">
        <v>2451</v>
      </c>
    </row>
    <row r="182" spans="1:7" outlineLevel="1" x14ac:dyDescent="0.35">
      <c r="A182" s="8" t="s">
        <v>904</v>
      </c>
      <c r="B182" s="8" t="s">
        <v>187</v>
      </c>
      <c r="C182" s="8">
        <v>4</v>
      </c>
      <c r="D182" s="8" t="s">
        <v>2451</v>
      </c>
      <c r="E182" s="8" t="s">
        <v>2451</v>
      </c>
      <c r="F182" s="8" t="s">
        <v>2451</v>
      </c>
      <c r="G182" s="8" t="s">
        <v>2451</v>
      </c>
    </row>
    <row r="183" spans="1:7" outlineLevel="2" x14ac:dyDescent="0.35">
      <c r="A183" s="8" t="s">
        <v>2451</v>
      </c>
      <c r="B183" s="8" t="s">
        <v>2451</v>
      </c>
      <c r="C183" s="8"/>
      <c r="D183" s="8" t="s">
        <v>900</v>
      </c>
      <c r="E183" s="8" t="s">
        <v>2451</v>
      </c>
      <c r="F183" s="8" t="s">
        <v>2451</v>
      </c>
      <c r="G183" s="8" t="s">
        <v>2451</v>
      </c>
    </row>
    <row r="184" spans="1:7" outlineLevel="2" x14ac:dyDescent="0.35">
      <c r="A184" s="8" t="s">
        <v>2451</v>
      </c>
      <c r="B184" s="8" t="s">
        <v>2451</v>
      </c>
      <c r="C184" s="8"/>
      <c r="D184" s="8" t="s">
        <v>901</v>
      </c>
      <c r="E184" s="8" t="s">
        <v>2451</v>
      </c>
      <c r="F184" s="8" t="s">
        <v>2451</v>
      </c>
      <c r="G184" s="8" t="s">
        <v>2451</v>
      </c>
    </row>
    <row r="185" spans="1:7" outlineLevel="2" x14ac:dyDescent="0.35">
      <c r="A185" s="8" t="s">
        <v>2451</v>
      </c>
      <c r="B185" s="8" t="s">
        <v>2451</v>
      </c>
      <c r="C185" s="8"/>
      <c r="D185" s="8" t="s">
        <v>902</v>
      </c>
      <c r="E185" s="8" t="s">
        <v>2451</v>
      </c>
      <c r="F185" s="8" t="s">
        <v>2451</v>
      </c>
      <c r="G185" s="8" t="s">
        <v>2451</v>
      </c>
    </row>
    <row r="186" spans="1:7" outlineLevel="2" x14ac:dyDescent="0.35">
      <c r="A186" s="8" t="s">
        <v>2451</v>
      </c>
      <c r="B186" s="8" t="s">
        <v>2451</v>
      </c>
      <c r="C186" s="8"/>
      <c r="D186" s="8" t="s">
        <v>903</v>
      </c>
      <c r="E186" s="8" t="s">
        <v>2451</v>
      </c>
      <c r="F186" s="8" t="s">
        <v>2451</v>
      </c>
      <c r="G186" s="8" t="s">
        <v>2451</v>
      </c>
    </row>
    <row r="187" spans="1:7" outlineLevel="1" x14ac:dyDescent="0.35">
      <c r="A187" s="8" t="s">
        <v>55</v>
      </c>
      <c r="B187" s="8" t="s">
        <v>191</v>
      </c>
      <c r="C187" s="8">
        <v>10</v>
      </c>
      <c r="D187" s="8" t="s">
        <v>2451</v>
      </c>
      <c r="E187" s="8" t="s">
        <v>2451</v>
      </c>
      <c r="F187" s="8" t="s">
        <v>2451</v>
      </c>
      <c r="G187" s="8" t="s">
        <v>2451</v>
      </c>
    </row>
    <row r="188" spans="1:7" outlineLevel="2" x14ac:dyDescent="0.35">
      <c r="A188" s="8" t="s">
        <v>2451</v>
      </c>
      <c r="B188" s="8" t="s">
        <v>2451</v>
      </c>
      <c r="C188" s="8"/>
      <c r="D188" s="8" t="s">
        <v>906</v>
      </c>
      <c r="E188" s="8" t="s">
        <v>2451</v>
      </c>
      <c r="F188" s="8" t="s">
        <v>2451</v>
      </c>
      <c r="G188" s="8" t="s">
        <v>2451</v>
      </c>
    </row>
    <row r="189" spans="1:7" outlineLevel="2" x14ac:dyDescent="0.35">
      <c r="A189" s="8" t="s">
        <v>2451</v>
      </c>
      <c r="B189" s="8" t="s">
        <v>2451</v>
      </c>
      <c r="C189" s="8"/>
      <c r="D189" s="8" t="s">
        <v>907</v>
      </c>
      <c r="E189" s="8" t="s">
        <v>2451</v>
      </c>
      <c r="F189" s="8" t="s">
        <v>2451</v>
      </c>
      <c r="G189" s="8" t="s">
        <v>2451</v>
      </c>
    </row>
    <row r="190" spans="1:7" outlineLevel="2" x14ac:dyDescent="0.35">
      <c r="A190" s="8" t="s">
        <v>2451</v>
      </c>
      <c r="B190" s="8" t="s">
        <v>2451</v>
      </c>
      <c r="C190" s="8"/>
      <c r="D190" s="8" t="s">
        <v>908</v>
      </c>
      <c r="E190" s="8" t="s">
        <v>2451</v>
      </c>
      <c r="F190" s="8" t="s">
        <v>2451</v>
      </c>
      <c r="G190" s="8" t="s">
        <v>2451</v>
      </c>
    </row>
    <row r="191" spans="1:7" outlineLevel="2" x14ac:dyDescent="0.35">
      <c r="A191" s="8" t="s">
        <v>2451</v>
      </c>
      <c r="B191" s="8" t="s">
        <v>2451</v>
      </c>
      <c r="C191" s="8"/>
      <c r="D191" s="8" t="s">
        <v>909</v>
      </c>
      <c r="E191" s="8" t="s">
        <v>2451</v>
      </c>
      <c r="F191" s="8" t="s">
        <v>2451</v>
      </c>
      <c r="G191" s="8" t="s">
        <v>2451</v>
      </c>
    </row>
    <row r="192" spans="1:7" outlineLevel="2" x14ac:dyDescent="0.35">
      <c r="A192" s="8" t="s">
        <v>2451</v>
      </c>
      <c r="B192" s="8" t="s">
        <v>2451</v>
      </c>
      <c r="C192" s="8"/>
      <c r="D192" s="8" t="s">
        <v>910</v>
      </c>
      <c r="E192" s="8" t="s">
        <v>2451</v>
      </c>
      <c r="F192" s="8" t="s">
        <v>2451</v>
      </c>
      <c r="G192" s="8" t="s">
        <v>2451</v>
      </c>
    </row>
    <row r="193" spans="1:7" outlineLevel="2" x14ac:dyDescent="0.35">
      <c r="A193" s="8" t="s">
        <v>2451</v>
      </c>
      <c r="B193" s="8" t="s">
        <v>2451</v>
      </c>
      <c r="C193" s="8"/>
      <c r="D193" s="8" t="s">
        <v>911</v>
      </c>
      <c r="E193" s="8" t="s">
        <v>2451</v>
      </c>
      <c r="F193" s="8" t="s">
        <v>2451</v>
      </c>
      <c r="G193" s="8" t="s">
        <v>2451</v>
      </c>
    </row>
    <row r="194" spans="1:7" outlineLevel="2" x14ac:dyDescent="0.35">
      <c r="A194" s="8" t="s">
        <v>2451</v>
      </c>
      <c r="B194" s="8" t="s">
        <v>2451</v>
      </c>
      <c r="C194" s="8"/>
      <c r="D194" s="8" t="s">
        <v>912</v>
      </c>
      <c r="E194" s="8" t="s">
        <v>2451</v>
      </c>
      <c r="F194" s="8" t="s">
        <v>2451</v>
      </c>
      <c r="G194" s="8" t="s">
        <v>2451</v>
      </c>
    </row>
    <row r="195" spans="1:7" outlineLevel="2" x14ac:dyDescent="0.35">
      <c r="A195" s="8" t="s">
        <v>2451</v>
      </c>
      <c r="B195" s="8" t="s">
        <v>2451</v>
      </c>
      <c r="C195" s="8"/>
      <c r="D195" s="8" t="s">
        <v>913</v>
      </c>
      <c r="E195" s="8" t="s">
        <v>2451</v>
      </c>
      <c r="F195" s="8" t="s">
        <v>2451</v>
      </c>
      <c r="G195" s="8" t="s">
        <v>2451</v>
      </c>
    </row>
    <row r="196" spans="1:7" outlineLevel="2" x14ac:dyDescent="0.35">
      <c r="A196" s="8" t="s">
        <v>2451</v>
      </c>
      <c r="B196" s="8" t="s">
        <v>2451</v>
      </c>
      <c r="C196" s="8"/>
      <c r="D196" s="8" t="s">
        <v>914</v>
      </c>
      <c r="E196" s="8" t="s">
        <v>2451</v>
      </c>
      <c r="F196" s="8" t="s">
        <v>2451</v>
      </c>
      <c r="G196" s="8" t="s">
        <v>2451</v>
      </c>
    </row>
    <row r="197" spans="1:7" outlineLevel="2" x14ac:dyDescent="0.35">
      <c r="A197" s="8" t="s">
        <v>2451</v>
      </c>
      <c r="B197" s="8" t="s">
        <v>2451</v>
      </c>
      <c r="C197" s="8"/>
      <c r="D197" s="8" t="s">
        <v>915</v>
      </c>
      <c r="E197" s="8" t="s">
        <v>2451</v>
      </c>
      <c r="F197" s="8" t="s">
        <v>2451</v>
      </c>
      <c r="G197" s="8" t="s">
        <v>2451</v>
      </c>
    </row>
    <row r="198" spans="1:7" outlineLevel="1" x14ac:dyDescent="0.35">
      <c r="A198" s="8" t="s">
        <v>55</v>
      </c>
      <c r="B198" s="8" t="s">
        <v>197</v>
      </c>
      <c r="C198" s="8">
        <v>6</v>
      </c>
      <c r="D198" s="8" t="s">
        <v>2451</v>
      </c>
      <c r="E198" s="8" t="s">
        <v>2451</v>
      </c>
      <c r="F198" s="8" t="s">
        <v>2451</v>
      </c>
      <c r="G198" s="8" t="s">
        <v>2451</v>
      </c>
    </row>
    <row r="199" spans="1:7" outlineLevel="2" x14ac:dyDescent="0.35">
      <c r="A199" s="8" t="s">
        <v>2451</v>
      </c>
      <c r="B199" s="8" t="s">
        <v>2451</v>
      </c>
      <c r="C199" s="8"/>
      <c r="D199" s="8" t="s">
        <v>916</v>
      </c>
      <c r="E199" s="8" t="s">
        <v>2451</v>
      </c>
      <c r="F199" s="8" t="s">
        <v>2451</v>
      </c>
      <c r="G199" s="8" t="s">
        <v>2451</v>
      </c>
    </row>
    <row r="200" spans="1:7" outlineLevel="2" x14ac:dyDescent="0.35">
      <c r="A200" s="8" t="s">
        <v>2451</v>
      </c>
      <c r="B200" s="8" t="s">
        <v>2451</v>
      </c>
      <c r="C200" s="8"/>
      <c r="D200" s="8" t="s">
        <v>917</v>
      </c>
      <c r="E200" s="8" t="s">
        <v>2451</v>
      </c>
      <c r="F200" s="8" t="s">
        <v>2451</v>
      </c>
      <c r="G200" s="8" t="s">
        <v>2451</v>
      </c>
    </row>
    <row r="201" spans="1:7" outlineLevel="2" x14ac:dyDescent="0.35">
      <c r="A201" s="8" t="s">
        <v>2451</v>
      </c>
      <c r="B201" s="8" t="s">
        <v>2451</v>
      </c>
      <c r="C201" s="8"/>
      <c r="D201" s="8" t="s">
        <v>918</v>
      </c>
      <c r="E201" s="8" t="s">
        <v>2451</v>
      </c>
      <c r="F201" s="8" t="s">
        <v>2451</v>
      </c>
      <c r="G201" s="8" t="s">
        <v>2451</v>
      </c>
    </row>
    <row r="202" spans="1:7" outlineLevel="2" x14ac:dyDescent="0.35">
      <c r="A202" s="8" t="s">
        <v>2451</v>
      </c>
      <c r="B202" s="8" t="s">
        <v>2451</v>
      </c>
      <c r="C202" s="8"/>
      <c r="D202" s="8" t="s">
        <v>919</v>
      </c>
      <c r="E202" s="8" t="s">
        <v>2451</v>
      </c>
      <c r="F202" s="8" t="s">
        <v>2451</v>
      </c>
      <c r="G202" s="8" t="s">
        <v>2451</v>
      </c>
    </row>
    <row r="203" spans="1:7" outlineLevel="2" x14ac:dyDescent="0.35">
      <c r="A203" s="8" t="s">
        <v>2451</v>
      </c>
      <c r="B203" s="8" t="s">
        <v>2451</v>
      </c>
      <c r="C203" s="8"/>
      <c r="D203" s="8" t="s">
        <v>920</v>
      </c>
      <c r="E203" s="8" t="s">
        <v>2451</v>
      </c>
      <c r="F203" s="8" t="s">
        <v>2451</v>
      </c>
      <c r="G203" s="8" t="s">
        <v>2451</v>
      </c>
    </row>
    <row r="204" spans="1:7" outlineLevel="2" x14ac:dyDescent="0.35">
      <c r="A204" s="8" t="s">
        <v>2451</v>
      </c>
      <c r="B204" s="8" t="s">
        <v>2451</v>
      </c>
      <c r="C204" s="8"/>
      <c r="D204" s="8" t="s">
        <v>921</v>
      </c>
      <c r="E204" s="8" t="s">
        <v>2451</v>
      </c>
      <c r="F204" s="8" t="s">
        <v>2451</v>
      </c>
      <c r="G204" s="8" t="s">
        <v>2451</v>
      </c>
    </row>
    <row r="205" spans="1:7" outlineLevel="1" x14ac:dyDescent="0.35">
      <c r="A205" s="8" t="s">
        <v>59</v>
      </c>
      <c r="B205" s="8" t="s">
        <v>202</v>
      </c>
      <c r="C205" s="8">
        <v>7</v>
      </c>
      <c r="D205" s="8" t="s">
        <v>2451</v>
      </c>
      <c r="E205" s="8" t="s">
        <v>2451</v>
      </c>
      <c r="F205" s="8" t="s">
        <v>2451</v>
      </c>
      <c r="G205" s="8" t="s">
        <v>2451</v>
      </c>
    </row>
    <row r="206" spans="1:7" outlineLevel="2" x14ac:dyDescent="0.35">
      <c r="A206" s="8" t="s">
        <v>2451</v>
      </c>
      <c r="B206" s="8" t="s">
        <v>2451</v>
      </c>
      <c r="C206" s="8"/>
      <c r="D206" s="8" t="s">
        <v>922</v>
      </c>
      <c r="E206" s="8" t="s">
        <v>2451</v>
      </c>
      <c r="F206" s="8" t="s">
        <v>2451</v>
      </c>
      <c r="G206" s="8" t="s">
        <v>2451</v>
      </c>
    </row>
    <row r="207" spans="1:7" outlineLevel="2" x14ac:dyDescent="0.35">
      <c r="A207" s="8" t="s">
        <v>2451</v>
      </c>
      <c r="B207" s="8" t="s">
        <v>2451</v>
      </c>
      <c r="C207" s="8"/>
      <c r="D207" s="8" t="s">
        <v>923</v>
      </c>
      <c r="E207" s="8" t="s">
        <v>2451</v>
      </c>
      <c r="F207" s="8" t="s">
        <v>2451</v>
      </c>
      <c r="G207" s="8" t="s">
        <v>2451</v>
      </c>
    </row>
    <row r="208" spans="1:7" outlineLevel="2" x14ac:dyDescent="0.35">
      <c r="A208" s="8" t="s">
        <v>2451</v>
      </c>
      <c r="B208" s="8" t="s">
        <v>2451</v>
      </c>
      <c r="C208" s="8"/>
      <c r="D208" s="8" t="s">
        <v>924</v>
      </c>
      <c r="E208" s="8" t="s">
        <v>2451</v>
      </c>
      <c r="F208" s="8" t="s">
        <v>2451</v>
      </c>
      <c r="G208" s="8" t="s">
        <v>2451</v>
      </c>
    </row>
    <row r="209" spans="1:7" outlineLevel="2" x14ac:dyDescent="0.35">
      <c r="A209" s="8" t="s">
        <v>2451</v>
      </c>
      <c r="B209" s="8" t="s">
        <v>2451</v>
      </c>
      <c r="C209" s="8"/>
      <c r="D209" s="8" t="s">
        <v>925</v>
      </c>
      <c r="E209" s="8" t="s">
        <v>2451</v>
      </c>
      <c r="F209" s="8" t="s">
        <v>2451</v>
      </c>
      <c r="G209" s="8" t="s">
        <v>2451</v>
      </c>
    </row>
    <row r="210" spans="1:7" outlineLevel="2" x14ac:dyDescent="0.35">
      <c r="A210" s="8" t="s">
        <v>2451</v>
      </c>
      <c r="B210" s="8" t="s">
        <v>2451</v>
      </c>
      <c r="C210" s="8"/>
      <c r="D210" s="8" t="s">
        <v>926</v>
      </c>
      <c r="E210" s="8" t="s">
        <v>2451</v>
      </c>
      <c r="F210" s="8" t="s">
        <v>2451</v>
      </c>
      <c r="G210" s="8" t="s">
        <v>2451</v>
      </c>
    </row>
    <row r="211" spans="1:7" outlineLevel="2" x14ac:dyDescent="0.35">
      <c r="A211" s="8" t="s">
        <v>2451</v>
      </c>
      <c r="B211" s="8" t="s">
        <v>2451</v>
      </c>
      <c r="C211" s="8"/>
      <c r="D211" s="8" t="s">
        <v>927</v>
      </c>
      <c r="E211" s="8" t="s">
        <v>2451</v>
      </c>
      <c r="F211" s="8" t="s">
        <v>2451</v>
      </c>
      <c r="G211" s="8" t="s">
        <v>2451</v>
      </c>
    </row>
    <row r="212" spans="1:7" outlineLevel="2" x14ac:dyDescent="0.35">
      <c r="A212" s="8" t="s">
        <v>2451</v>
      </c>
      <c r="B212" s="8" t="s">
        <v>2451</v>
      </c>
      <c r="C212" s="8"/>
      <c r="D212" s="8" t="s">
        <v>928</v>
      </c>
      <c r="E212" s="8" t="s">
        <v>2451</v>
      </c>
      <c r="F212" s="8" t="s">
        <v>2451</v>
      </c>
      <c r="G212" s="8" t="s">
        <v>2451</v>
      </c>
    </row>
    <row r="213" spans="1:7" outlineLevel="1" x14ac:dyDescent="0.35">
      <c r="A213" s="8" t="s">
        <v>59</v>
      </c>
      <c r="B213" s="8" t="s">
        <v>207</v>
      </c>
      <c r="C213" s="8">
        <v>15</v>
      </c>
      <c r="D213" s="8" t="s">
        <v>2451</v>
      </c>
      <c r="E213" s="8" t="s">
        <v>2451</v>
      </c>
      <c r="F213" s="8" t="s">
        <v>2451</v>
      </c>
      <c r="G213" s="8" t="s">
        <v>2451</v>
      </c>
    </row>
    <row r="214" spans="1:7" outlineLevel="2" x14ac:dyDescent="0.35">
      <c r="A214" s="8" t="s">
        <v>2451</v>
      </c>
      <c r="B214" s="8" t="s">
        <v>2451</v>
      </c>
      <c r="C214" s="8"/>
      <c r="D214" s="8" t="s">
        <v>929</v>
      </c>
      <c r="E214" s="8" t="s">
        <v>2451</v>
      </c>
      <c r="F214" s="8" t="s">
        <v>2451</v>
      </c>
      <c r="G214" s="8" t="s">
        <v>2451</v>
      </c>
    </row>
    <row r="215" spans="1:7" outlineLevel="2" x14ac:dyDescent="0.35">
      <c r="A215" s="8" t="s">
        <v>2451</v>
      </c>
      <c r="B215" s="8" t="s">
        <v>2451</v>
      </c>
      <c r="C215" s="8"/>
      <c r="D215" s="8" t="s">
        <v>930</v>
      </c>
      <c r="E215" s="8" t="s">
        <v>2451</v>
      </c>
      <c r="F215" s="8" t="s">
        <v>2451</v>
      </c>
      <c r="G215" s="8" t="s">
        <v>2451</v>
      </c>
    </row>
    <row r="216" spans="1:7" outlineLevel="2" x14ac:dyDescent="0.35">
      <c r="A216" s="8" t="s">
        <v>2451</v>
      </c>
      <c r="B216" s="8" t="s">
        <v>2451</v>
      </c>
      <c r="C216" s="8"/>
      <c r="D216" s="8" t="s">
        <v>931</v>
      </c>
      <c r="E216" s="8" t="s">
        <v>2451</v>
      </c>
      <c r="F216" s="8" t="s">
        <v>2451</v>
      </c>
      <c r="G216" s="8" t="s">
        <v>2451</v>
      </c>
    </row>
    <row r="217" spans="1:7" outlineLevel="2" x14ac:dyDescent="0.35">
      <c r="A217" s="8" t="s">
        <v>2451</v>
      </c>
      <c r="B217" s="8" t="s">
        <v>2451</v>
      </c>
      <c r="C217" s="8"/>
      <c r="D217" s="8" t="s">
        <v>932</v>
      </c>
      <c r="E217" s="8" t="s">
        <v>2451</v>
      </c>
      <c r="F217" s="8" t="s">
        <v>2451</v>
      </c>
      <c r="G217" s="8" t="s">
        <v>2451</v>
      </c>
    </row>
    <row r="218" spans="1:7" outlineLevel="2" x14ac:dyDescent="0.35">
      <c r="A218" s="8" t="s">
        <v>2451</v>
      </c>
      <c r="B218" s="8" t="s">
        <v>2451</v>
      </c>
      <c r="C218" s="8"/>
      <c r="D218" s="8" t="s">
        <v>933</v>
      </c>
      <c r="E218" s="8" t="s">
        <v>2451</v>
      </c>
      <c r="F218" s="8" t="s">
        <v>2451</v>
      </c>
      <c r="G218" s="8" t="s">
        <v>2451</v>
      </c>
    </row>
    <row r="219" spans="1:7" outlineLevel="2" x14ac:dyDescent="0.35">
      <c r="A219" s="8" t="s">
        <v>2451</v>
      </c>
      <c r="B219" s="8" t="s">
        <v>2451</v>
      </c>
      <c r="C219" s="8"/>
      <c r="D219" s="8" t="s">
        <v>934</v>
      </c>
      <c r="E219" s="8" t="s">
        <v>2451</v>
      </c>
      <c r="F219" s="8" t="s">
        <v>2451</v>
      </c>
      <c r="G219" s="8" t="s">
        <v>2451</v>
      </c>
    </row>
    <row r="220" spans="1:7" outlineLevel="2" x14ac:dyDescent="0.35">
      <c r="A220" s="8" t="s">
        <v>2451</v>
      </c>
      <c r="B220" s="8" t="s">
        <v>2451</v>
      </c>
      <c r="C220" s="8"/>
      <c r="D220" s="8" t="s">
        <v>935</v>
      </c>
      <c r="E220" s="8" t="s">
        <v>2451</v>
      </c>
      <c r="F220" s="8" t="s">
        <v>2451</v>
      </c>
      <c r="G220" s="8" t="s">
        <v>2451</v>
      </c>
    </row>
    <row r="221" spans="1:7" outlineLevel="2" x14ac:dyDescent="0.35">
      <c r="A221" s="8" t="s">
        <v>2451</v>
      </c>
      <c r="B221" s="8" t="s">
        <v>2451</v>
      </c>
      <c r="C221" s="8"/>
      <c r="D221" s="8" t="s">
        <v>936</v>
      </c>
      <c r="E221" s="8" t="s">
        <v>2451</v>
      </c>
      <c r="F221" s="8" t="s">
        <v>2451</v>
      </c>
      <c r="G221" s="8" t="s">
        <v>2451</v>
      </c>
    </row>
    <row r="222" spans="1:7" outlineLevel="2" x14ac:dyDescent="0.35">
      <c r="A222" s="8" t="s">
        <v>2451</v>
      </c>
      <c r="B222" s="8" t="s">
        <v>2451</v>
      </c>
      <c r="C222" s="8"/>
      <c r="D222" s="8" t="s">
        <v>937</v>
      </c>
      <c r="E222" s="8" t="s">
        <v>2451</v>
      </c>
      <c r="F222" s="8" t="s">
        <v>2451</v>
      </c>
      <c r="G222" s="8" t="s">
        <v>2451</v>
      </c>
    </row>
    <row r="223" spans="1:7" outlineLevel="2" x14ac:dyDescent="0.35">
      <c r="A223" s="8" t="s">
        <v>2451</v>
      </c>
      <c r="B223" s="8" t="s">
        <v>2451</v>
      </c>
      <c r="C223" s="8"/>
      <c r="D223" s="8" t="s">
        <v>938</v>
      </c>
      <c r="E223" s="8" t="s">
        <v>2451</v>
      </c>
      <c r="F223" s="8" t="s">
        <v>2451</v>
      </c>
      <c r="G223" s="8" t="s">
        <v>2451</v>
      </c>
    </row>
    <row r="224" spans="1:7" outlineLevel="2" x14ac:dyDescent="0.35">
      <c r="A224" s="8" t="s">
        <v>2451</v>
      </c>
      <c r="B224" s="8" t="s">
        <v>2451</v>
      </c>
      <c r="C224" s="8"/>
      <c r="D224" s="8" t="s">
        <v>939</v>
      </c>
      <c r="E224" s="8" t="s">
        <v>2451</v>
      </c>
      <c r="F224" s="8" t="s">
        <v>2451</v>
      </c>
      <c r="G224" s="8" t="s">
        <v>2451</v>
      </c>
    </row>
    <row r="225" spans="1:7" outlineLevel="2" x14ac:dyDescent="0.35">
      <c r="A225" s="8" t="s">
        <v>2451</v>
      </c>
      <c r="B225" s="8" t="s">
        <v>2451</v>
      </c>
      <c r="C225" s="8"/>
      <c r="D225" s="8" t="s">
        <v>940</v>
      </c>
      <c r="E225" s="8" t="s">
        <v>2451</v>
      </c>
      <c r="F225" s="8" t="s">
        <v>2451</v>
      </c>
      <c r="G225" s="8" t="s">
        <v>2451</v>
      </c>
    </row>
    <row r="226" spans="1:7" outlineLevel="2" x14ac:dyDescent="0.35">
      <c r="A226" s="8" t="s">
        <v>2451</v>
      </c>
      <c r="B226" s="8" t="s">
        <v>2451</v>
      </c>
      <c r="C226" s="8"/>
      <c r="D226" s="8" t="s">
        <v>941</v>
      </c>
      <c r="E226" s="8" t="s">
        <v>2451</v>
      </c>
      <c r="F226" s="8" t="s">
        <v>2451</v>
      </c>
      <c r="G226" s="8" t="s">
        <v>2451</v>
      </c>
    </row>
    <row r="227" spans="1:7" outlineLevel="2" x14ac:dyDescent="0.35">
      <c r="A227" s="8" t="s">
        <v>2451</v>
      </c>
      <c r="B227" s="8" t="s">
        <v>2451</v>
      </c>
      <c r="C227" s="8"/>
      <c r="D227" s="8" t="s">
        <v>942</v>
      </c>
      <c r="E227" s="8" t="s">
        <v>2451</v>
      </c>
      <c r="F227" s="8" t="s">
        <v>2451</v>
      </c>
      <c r="G227" s="8" t="s">
        <v>2451</v>
      </c>
    </row>
    <row r="228" spans="1:7" outlineLevel="2" x14ac:dyDescent="0.35">
      <c r="A228" s="8" t="s">
        <v>2451</v>
      </c>
      <c r="B228" s="8" t="s">
        <v>2451</v>
      </c>
      <c r="C228" s="8"/>
      <c r="D228" s="8" t="s">
        <v>943</v>
      </c>
      <c r="E228" s="8" t="s">
        <v>2451</v>
      </c>
      <c r="F228" s="8" t="s">
        <v>2451</v>
      </c>
      <c r="G228" s="8" t="s">
        <v>2451</v>
      </c>
    </row>
    <row r="229" spans="1:7" outlineLevel="1" x14ac:dyDescent="0.35">
      <c r="A229" s="8" t="s">
        <v>59</v>
      </c>
      <c r="B229" s="8" t="s">
        <v>214</v>
      </c>
      <c r="C229" s="8">
        <v>13</v>
      </c>
      <c r="D229" s="8" t="s">
        <v>2451</v>
      </c>
      <c r="E229" s="8" t="s">
        <v>2451</v>
      </c>
      <c r="F229" s="8" t="s">
        <v>2451</v>
      </c>
      <c r="G229" s="8" t="s">
        <v>2451</v>
      </c>
    </row>
    <row r="230" spans="1:7" outlineLevel="2" x14ac:dyDescent="0.35">
      <c r="A230" s="8" t="s">
        <v>2451</v>
      </c>
      <c r="B230" s="8" t="s">
        <v>2451</v>
      </c>
      <c r="C230" s="8"/>
      <c r="D230" s="8" t="s">
        <v>944</v>
      </c>
      <c r="E230" s="8" t="s">
        <v>2451</v>
      </c>
      <c r="F230" s="8" t="s">
        <v>2451</v>
      </c>
      <c r="G230" s="8" t="s">
        <v>2451</v>
      </c>
    </row>
    <row r="231" spans="1:7" outlineLevel="2" x14ac:dyDescent="0.35">
      <c r="A231" s="8" t="s">
        <v>2451</v>
      </c>
      <c r="B231" s="8" t="s">
        <v>2451</v>
      </c>
      <c r="C231" s="8"/>
      <c r="D231" s="8" t="s">
        <v>945</v>
      </c>
      <c r="E231" s="8" t="s">
        <v>2451</v>
      </c>
      <c r="F231" s="8" t="s">
        <v>2451</v>
      </c>
      <c r="G231" s="8" t="s">
        <v>2451</v>
      </c>
    </row>
    <row r="232" spans="1:7" outlineLevel="2" x14ac:dyDescent="0.35">
      <c r="A232" s="8" t="s">
        <v>2451</v>
      </c>
      <c r="B232" s="8" t="s">
        <v>2451</v>
      </c>
      <c r="C232" s="8"/>
      <c r="D232" s="8" t="s">
        <v>946</v>
      </c>
      <c r="E232" s="8" t="s">
        <v>2451</v>
      </c>
      <c r="F232" s="8" t="s">
        <v>2451</v>
      </c>
      <c r="G232" s="8" t="s">
        <v>2451</v>
      </c>
    </row>
    <row r="233" spans="1:7" outlineLevel="2" x14ac:dyDescent="0.35">
      <c r="A233" s="8" t="s">
        <v>2451</v>
      </c>
      <c r="B233" s="8" t="s">
        <v>2451</v>
      </c>
      <c r="C233" s="8"/>
      <c r="D233" s="8" t="s">
        <v>947</v>
      </c>
      <c r="E233" s="8" t="s">
        <v>2451</v>
      </c>
      <c r="F233" s="8" t="s">
        <v>2451</v>
      </c>
      <c r="G233" s="8" t="s">
        <v>2451</v>
      </c>
    </row>
    <row r="234" spans="1:7" outlineLevel="2" x14ac:dyDescent="0.35">
      <c r="A234" s="8" t="s">
        <v>2451</v>
      </c>
      <c r="B234" s="8" t="s">
        <v>2451</v>
      </c>
      <c r="C234" s="8"/>
      <c r="D234" s="8" t="s">
        <v>948</v>
      </c>
      <c r="E234" s="8" t="s">
        <v>2451</v>
      </c>
      <c r="F234" s="8" t="s">
        <v>2451</v>
      </c>
      <c r="G234" s="8" t="s">
        <v>2451</v>
      </c>
    </row>
    <row r="235" spans="1:7" outlineLevel="2" x14ac:dyDescent="0.35">
      <c r="A235" s="8" t="s">
        <v>2451</v>
      </c>
      <c r="B235" s="8" t="s">
        <v>2451</v>
      </c>
      <c r="C235" s="8"/>
      <c r="D235" s="8" t="s">
        <v>949</v>
      </c>
      <c r="E235" s="8" t="s">
        <v>2451</v>
      </c>
      <c r="F235" s="8" t="s">
        <v>2451</v>
      </c>
      <c r="G235" s="8" t="s">
        <v>2451</v>
      </c>
    </row>
    <row r="236" spans="1:7" outlineLevel="2" x14ac:dyDescent="0.35">
      <c r="A236" s="8" t="s">
        <v>2451</v>
      </c>
      <c r="B236" s="8" t="s">
        <v>2451</v>
      </c>
      <c r="C236" s="8"/>
      <c r="D236" s="8" t="s">
        <v>950</v>
      </c>
      <c r="E236" s="8" t="s">
        <v>2451</v>
      </c>
      <c r="F236" s="8" t="s">
        <v>2451</v>
      </c>
      <c r="G236" s="8" t="s">
        <v>2451</v>
      </c>
    </row>
    <row r="237" spans="1:7" outlineLevel="2" x14ac:dyDescent="0.35">
      <c r="A237" s="8" t="s">
        <v>2451</v>
      </c>
      <c r="B237" s="8" t="s">
        <v>2451</v>
      </c>
      <c r="C237" s="8"/>
      <c r="D237" s="8" t="s">
        <v>951</v>
      </c>
      <c r="E237" s="8" t="s">
        <v>2451</v>
      </c>
      <c r="F237" s="8" t="s">
        <v>2451</v>
      </c>
      <c r="G237" s="8" t="s">
        <v>2451</v>
      </c>
    </row>
    <row r="238" spans="1:7" outlineLevel="2" x14ac:dyDescent="0.35">
      <c r="A238" s="8" t="s">
        <v>2451</v>
      </c>
      <c r="B238" s="8" t="s">
        <v>2451</v>
      </c>
      <c r="C238" s="8"/>
      <c r="D238" s="8" t="s">
        <v>952</v>
      </c>
      <c r="E238" s="8" t="s">
        <v>2451</v>
      </c>
      <c r="F238" s="8" t="s">
        <v>2451</v>
      </c>
      <c r="G238" s="8" t="s">
        <v>2451</v>
      </c>
    </row>
    <row r="239" spans="1:7" outlineLevel="2" x14ac:dyDescent="0.35">
      <c r="A239" s="8" t="s">
        <v>2451</v>
      </c>
      <c r="B239" s="8" t="s">
        <v>2451</v>
      </c>
      <c r="C239" s="8"/>
      <c r="D239" s="8" t="s">
        <v>953</v>
      </c>
      <c r="E239" s="8" t="s">
        <v>2451</v>
      </c>
      <c r="F239" s="8" t="s">
        <v>2451</v>
      </c>
      <c r="G239" s="8" t="s">
        <v>2451</v>
      </c>
    </row>
    <row r="240" spans="1:7" outlineLevel="2" x14ac:dyDescent="0.35">
      <c r="A240" s="8" t="s">
        <v>2451</v>
      </c>
      <c r="B240" s="8" t="s">
        <v>2451</v>
      </c>
      <c r="C240" s="8"/>
      <c r="D240" s="8" t="s">
        <v>954</v>
      </c>
      <c r="E240" s="8" t="s">
        <v>2451</v>
      </c>
      <c r="F240" s="8" t="s">
        <v>2451</v>
      </c>
      <c r="G240" s="8" t="s">
        <v>2451</v>
      </c>
    </row>
    <row r="241" spans="1:7" outlineLevel="2" x14ac:dyDescent="0.35">
      <c r="A241" s="8" t="s">
        <v>2451</v>
      </c>
      <c r="B241" s="8" t="s">
        <v>2451</v>
      </c>
      <c r="C241" s="8"/>
      <c r="D241" s="8" t="s">
        <v>955</v>
      </c>
      <c r="E241" s="8" t="s">
        <v>2451</v>
      </c>
      <c r="F241" s="8" t="s">
        <v>2451</v>
      </c>
      <c r="G241" s="8" t="s">
        <v>2451</v>
      </c>
    </row>
    <row r="242" spans="1:7" outlineLevel="2" x14ac:dyDescent="0.35">
      <c r="A242" s="8" t="s">
        <v>2451</v>
      </c>
      <c r="B242" s="8" t="s">
        <v>2451</v>
      </c>
      <c r="C242" s="8"/>
      <c r="D242" s="8" t="s">
        <v>956</v>
      </c>
      <c r="E242" s="8" t="s">
        <v>2451</v>
      </c>
      <c r="F242" s="8" t="s">
        <v>2451</v>
      </c>
      <c r="G242" s="8" t="s">
        <v>2451</v>
      </c>
    </row>
    <row r="243" spans="1:7" outlineLevel="1" x14ac:dyDescent="0.35">
      <c r="A243" s="8" t="s">
        <v>66</v>
      </c>
      <c r="B243" s="8" t="s">
        <v>221</v>
      </c>
      <c r="C243" s="8">
        <v>9</v>
      </c>
      <c r="D243" s="8" t="s">
        <v>2451</v>
      </c>
      <c r="E243" s="8" t="s">
        <v>2451</v>
      </c>
      <c r="F243" s="8" t="s">
        <v>2451</v>
      </c>
      <c r="G243" s="8" t="s">
        <v>2451</v>
      </c>
    </row>
    <row r="244" spans="1:7" outlineLevel="2" x14ac:dyDescent="0.35">
      <c r="A244" s="8" t="s">
        <v>2451</v>
      </c>
      <c r="B244" s="8" t="s">
        <v>2451</v>
      </c>
      <c r="C244" s="8"/>
      <c r="D244" s="8" t="s">
        <v>957</v>
      </c>
      <c r="E244" s="8" t="s">
        <v>2451</v>
      </c>
      <c r="F244" s="8" t="s">
        <v>2451</v>
      </c>
      <c r="G244" s="8" t="s">
        <v>2451</v>
      </c>
    </row>
    <row r="245" spans="1:7" outlineLevel="2" x14ac:dyDescent="0.35">
      <c r="A245" s="8" t="s">
        <v>2451</v>
      </c>
      <c r="B245" s="8" t="s">
        <v>2451</v>
      </c>
      <c r="C245" s="8"/>
      <c r="D245" s="8" t="s">
        <v>958</v>
      </c>
      <c r="E245" s="8" t="s">
        <v>2451</v>
      </c>
      <c r="F245" s="8" t="s">
        <v>2451</v>
      </c>
      <c r="G245" s="8" t="s">
        <v>2451</v>
      </c>
    </row>
    <row r="246" spans="1:7" outlineLevel="2" x14ac:dyDescent="0.35">
      <c r="A246" s="8" t="s">
        <v>2451</v>
      </c>
      <c r="B246" s="8" t="s">
        <v>2451</v>
      </c>
      <c r="C246" s="8"/>
      <c r="D246" s="8" t="s">
        <v>959</v>
      </c>
      <c r="E246" s="8" t="s">
        <v>2451</v>
      </c>
      <c r="F246" s="8" t="s">
        <v>2451</v>
      </c>
      <c r="G246" s="8" t="s">
        <v>2451</v>
      </c>
    </row>
    <row r="247" spans="1:7" outlineLevel="2" x14ac:dyDescent="0.35">
      <c r="A247" s="8" t="s">
        <v>2451</v>
      </c>
      <c r="B247" s="8" t="s">
        <v>2451</v>
      </c>
      <c r="C247" s="8"/>
      <c r="D247" s="8" t="s">
        <v>960</v>
      </c>
      <c r="E247" s="8" t="s">
        <v>2451</v>
      </c>
      <c r="F247" s="8" t="s">
        <v>2451</v>
      </c>
      <c r="G247" s="8" t="s">
        <v>2451</v>
      </c>
    </row>
    <row r="248" spans="1:7" outlineLevel="2" x14ac:dyDescent="0.35">
      <c r="A248" s="8" t="s">
        <v>2451</v>
      </c>
      <c r="B248" s="8" t="s">
        <v>2451</v>
      </c>
      <c r="C248" s="8"/>
      <c r="D248" s="8" t="s">
        <v>961</v>
      </c>
      <c r="E248" s="8" t="s">
        <v>2451</v>
      </c>
      <c r="F248" s="8" t="s">
        <v>2451</v>
      </c>
      <c r="G248" s="8" t="s">
        <v>2451</v>
      </c>
    </row>
    <row r="249" spans="1:7" outlineLevel="2" x14ac:dyDescent="0.35">
      <c r="A249" s="8" t="s">
        <v>2451</v>
      </c>
      <c r="B249" s="8" t="s">
        <v>2451</v>
      </c>
      <c r="C249" s="8"/>
      <c r="D249" s="8" t="s">
        <v>962</v>
      </c>
      <c r="E249" s="8" t="s">
        <v>2451</v>
      </c>
      <c r="F249" s="8" t="s">
        <v>2451</v>
      </c>
      <c r="G249" s="8" t="s">
        <v>2451</v>
      </c>
    </row>
    <row r="250" spans="1:7" outlineLevel="2" x14ac:dyDescent="0.35">
      <c r="A250" s="8" t="s">
        <v>2451</v>
      </c>
      <c r="B250" s="8" t="s">
        <v>2451</v>
      </c>
      <c r="C250" s="8"/>
      <c r="D250" s="8" t="s">
        <v>963</v>
      </c>
      <c r="E250" s="8" t="s">
        <v>2451</v>
      </c>
      <c r="F250" s="8" t="s">
        <v>2451</v>
      </c>
      <c r="G250" s="8" t="s">
        <v>2451</v>
      </c>
    </row>
    <row r="251" spans="1:7" outlineLevel="2" x14ac:dyDescent="0.35">
      <c r="A251" s="8" t="s">
        <v>2451</v>
      </c>
      <c r="B251" s="8" t="s">
        <v>2451</v>
      </c>
      <c r="C251" s="8"/>
      <c r="D251" s="8" t="s">
        <v>964</v>
      </c>
      <c r="E251" s="8" t="s">
        <v>2451</v>
      </c>
      <c r="F251" s="8" t="s">
        <v>2451</v>
      </c>
      <c r="G251" s="8" t="s">
        <v>2451</v>
      </c>
    </row>
    <row r="252" spans="1:7" outlineLevel="2" x14ac:dyDescent="0.35">
      <c r="A252" s="8" t="s">
        <v>2451</v>
      </c>
      <c r="B252" s="8" t="s">
        <v>2451</v>
      </c>
      <c r="C252" s="8"/>
      <c r="D252" s="8" t="s">
        <v>965</v>
      </c>
      <c r="E252" s="8" t="s">
        <v>2451</v>
      </c>
      <c r="F252" s="8" t="s">
        <v>2451</v>
      </c>
      <c r="G252" s="8" t="s">
        <v>2451</v>
      </c>
    </row>
    <row r="253" spans="1:7" outlineLevel="1" x14ac:dyDescent="0.35">
      <c r="A253" s="8" t="s">
        <v>66</v>
      </c>
      <c r="B253" s="8" t="s">
        <v>227</v>
      </c>
      <c r="C253" s="8">
        <v>11</v>
      </c>
      <c r="D253" s="8" t="s">
        <v>2451</v>
      </c>
      <c r="E253" s="8" t="s">
        <v>2451</v>
      </c>
      <c r="F253" s="8" t="s">
        <v>2451</v>
      </c>
      <c r="G253" s="8" t="s">
        <v>2451</v>
      </c>
    </row>
    <row r="254" spans="1:7" outlineLevel="2" x14ac:dyDescent="0.35">
      <c r="A254" s="8" t="s">
        <v>2451</v>
      </c>
      <c r="B254" s="8" t="s">
        <v>2451</v>
      </c>
      <c r="C254" s="8"/>
      <c r="D254" s="8" t="s">
        <v>966</v>
      </c>
      <c r="E254" s="8" t="s">
        <v>2451</v>
      </c>
      <c r="F254" s="8" t="s">
        <v>2451</v>
      </c>
      <c r="G254" s="8" t="s">
        <v>2451</v>
      </c>
    </row>
    <row r="255" spans="1:7" outlineLevel="2" x14ac:dyDescent="0.35">
      <c r="A255" s="8" t="s">
        <v>2451</v>
      </c>
      <c r="B255" s="8" t="s">
        <v>2451</v>
      </c>
      <c r="C255" s="8"/>
      <c r="D255" s="8" t="s">
        <v>967</v>
      </c>
      <c r="E255" s="8" t="s">
        <v>2451</v>
      </c>
      <c r="F255" s="8" t="s">
        <v>2451</v>
      </c>
      <c r="G255" s="8" t="s">
        <v>2451</v>
      </c>
    </row>
    <row r="256" spans="1:7" outlineLevel="2" x14ac:dyDescent="0.35">
      <c r="A256" s="8" t="s">
        <v>2451</v>
      </c>
      <c r="B256" s="8" t="s">
        <v>2451</v>
      </c>
      <c r="C256" s="8"/>
      <c r="D256" s="8" t="s">
        <v>968</v>
      </c>
      <c r="E256" s="8" t="s">
        <v>2451</v>
      </c>
      <c r="F256" s="8" t="s">
        <v>2451</v>
      </c>
      <c r="G256" s="8" t="s">
        <v>2451</v>
      </c>
    </row>
    <row r="257" spans="1:7" outlineLevel="2" x14ac:dyDescent="0.35">
      <c r="A257" s="8" t="s">
        <v>2451</v>
      </c>
      <c r="B257" s="8" t="s">
        <v>2451</v>
      </c>
      <c r="C257" s="8"/>
      <c r="D257" s="8" t="s">
        <v>969</v>
      </c>
      <c r="E257" s="8" t="s">
        <v>2451</v>
      </c>
      <c r="F257" s="8" t="s">
        <v>2451</v>
      </c>
      <c r="G257" s="8" t="s">
        <v>2451</v>
      </c>
    </row>
    <row r="258" spans="1:7" outlineLevel="2" x14ac:dyDescent="0.35">
      <c r="A258" s="8" t="s">
        <v>2451</v>
      </c>
      <c r="B258" s="8" t="s">
        <v>2451</v>
      </c>
      <c r="C258" s="8"/>
      <c r="D258" s="8" t="s">
        <v>970</v>
      </c>
      <c r="E258" s="8" t="s">
        <v>2451</v>
      </c>
      <c r="F258" s="8" t="s">
        <v>2451</v>
      </c>
      <c r="G258" s="8" t="s">
        <v>2451</v>
      </c>
    </row>
    <row r="259" spans="1:7" outlineLevel="2" x14ac:dyDescent="0.35">
      <c r="A259" s="8" t="s">
        <v>2451</v>
      </c>
      <c r="B259" s="8" t="s">
        <v>2451</v>
      </c>
      <c r="C259" s="8"/>
      <c r="D259" s="8" t="s">
        <v>971</v>
      </c>
      <c r="E259" s="8" t="s">
        <v>2451</v>
      </c>
      <c r="F259" s="8" t="s">
        <v>2451</v>
      </c>
      <c r="G259" s="8" t="s">
        <v>2451</v>
      </c>
    </row>
    <row r="260" spans="1:7" outlineLevel="2" x14ac:dyDescent="0.35">
      <c r="A260" s="8" t="s">
        <v>2451</v>
      </c>
      <c r="B260" s="8" t="s">
        <v>2451</v>
      </c>
      <c r="C260" s="8"/>
      <c r="D260" s="8" t="s">
        <v>972</v>
      </c>
      <c r="E260" s="8" t="s">
        <v>2451</v>
      </c>
      <c r="F260" s="8" t="s">
        <v>2451</v>
      </c>
      <c r="G260" s="8" t="s">
        <v>2451</v>
      </c>
    </row>
    <row r="261" spans="1:7" outlineLevel="2" x14ac:dyDescent="0.35">
      <c r="A261" s="8" t="s">
        <v>2451</v>
      </c>
      <c r="B261" s="8" t="s">
        <v>2451</v>
      </c>
      <c r="C261" s="8"/>
      <c r="D261" s="8" t="s">
        <v>973</v>
      </c>
      <c r="E261" s="8" t="s">
        <v>2451</v>
      </c>
      <c r="F261" s="8" t="s">
        <v>2451</v>
      </c>
      <c r="G261" s="8" t="s">
        <v>2451</v>
      </c>
    </row>
    <row r="262" spans="1:7" outlineLevel="2" x14ac:dyDescent="0.35">
      <c r="A262" s="8" t="s">
        <v>2451</v>
      </c>
      <c r="B262" s="8" t="s">
        <v>2451</v>
      </c>
      <c r="C262" s="8"/>
      <c r="D262" s="8" t="s">
        <v>974</v>
      </c>
      <c r="E262" s="8" t="s">
        <v>2451</v>
      </c>
      <c r="F262" s="8" t="s">
        <v>2451</v>
      </c>
      <c r="G262" s="8" t="s">
        <v>2451</v>
      </c>
    </row>
    <row r="263" spans="1:7" outlineLevel="2" x14ac:dyDescent="0.35">
      <c r="A263" s="8" t="s">
        <v>2451</v>
      </c>
      <c r="B263" s="8" t="s">
        <v>2451</v>
      </c>
      <c r="C263" s="8"/>
      <c r="D263" s="8" t="s">
        <v>975</v>
      </c>
      <c r="E263" s="8" t="s">
        <v>2451</v>
      </c>
      <c r="F263" s="8" t="s">
        <v>2451</v>
      </c>
      <c r="G263" s="8" t="s">
        <v>2451</v>
      </c>
    </row>
    <row r="264" spans="1:7" outlineLevel="2" x14ac:dyDescent="0.35">
      <c r="A264" s="8" t="s">
        <v>2451</v>
      </c>
      <c r="B264" s="8" t="s">
        <v>2451</v>
      </c>
      <c r="C264" s="8"/>
      <c r="D264" s="8" t="s">
        <v>976</v>
      </c>
      <c r="E264" s="8" t="s">
        <v>2451</v>
      </c>
      <c r="F264" s="8" t="s">
        <v>2451</v>
      </c>
      <c r="G264" s="8" t="s">
        <v>2451</v>
      </c>
    </row>
    <row r="265" spans="1:7" outlineLevel="1" x14ac:dyDescent="0.35">
      <c r="A265" s="8" t="s">
        <v>66</v>
      </c>
      <c r="B265" s="8" t="s">
        <v>234</v>
      </c>
      <c r="C265" s="8">
        <v>5</v>
      </c>
      <c r="D265" s="8" t="s">
        <v>2451</v>
      </c>
      <c r="E265" s="8" t="s">
        <v>2451</v>
      </c>
      <c r="F265" s="8" t="s">
        <v>2451</v>
      </c>
      <c r="G265" s="8" t="s">
        <v>2451</v>
      </c>
    </row>
    <row r="266" spans="1:7" outlineLevel="2" x14ac:dyDescent="0.35">
      <c r="A266" s="8" t="s">
        <v>2451</v>
      </c>
      <c r="B266" s="8" t="s">
        <v>2451</v>
      </c>
      <c r="C266" s="8"/>
      <c r="D266" s="8" t="s">
        <v>977</v>
      </c>
      <c r="E266" s="8" t="s">
        <v>2451</v>
      </c>
      <c r="F266" s="8" t="s">
        <v>2451</v>
      </c>
      <c r="G266" s="8" t="s">
        <v>2451</v>
      </c>
    </row>
    <row r="267" spans="1:7" outlineLevel="2" x14ac:dyDescent="0.35">
      <c r="A267" s="8" t="s">
        <v>2451</v>
      </c>
      <c r="B267" s="8" t="s">
        <v>2451</v>
      </c>
      <c r="C267" s="8"/>
      <c r="D267" s="8" t="s">
        <v>978</v>
      </c>
      <c r="E267" s="8" t="s">
        <v>2451</v>
      </c>
      <c r="F267" s="8" t="s">
        <v>2451</v>
      </c>
      <c r="G267" s="8" t="s">
        <v>2451</v>
      </c>
    </row>
    <row r="268" spans="1:7" outlineLevel="2" x14ac:dyDescent="0.35">
      <c r="A268" s="8" t="s">
        <v>2451</v>
      </c>
      <c r="B268" s="8" t="s">
        <v>2451</v>
      </c>
      <c r="C268" s="8"/>
      <c r="D268" s="8" t="s">
        <v>979</v>
      </c>
      <c r="E268" s="8" t="s">
        <v>2451</v>
      </c>
      <c r="F268" s="8" t="s">
        <v>2451</v>
      </c>
      <c r="G268" s="8" t="s">
        <v>2451</v>
      </c>
    </row>
    <row r="269" spans="1:7" outlineLevel="2" x14ac:dyDescent="0.35">
      <c r="A269" s="8" t="s">
        <v>2451</v>
      </c>
      <c r="B269" s="8" t="s">
        <v>2451</v>
      </c>
      <c r="C269" s="8"/>
      <c r="D269" s="8" t="s">
        <v>980</v>
      </c>
      <c r="E269" s="8" t="s">
        <v>2451</v>
      </c>
      <c r="F269" s="8" t="s">
        <v>2451</v>
      </c>
      <c r="G269" s="8" t="s">
        <v>2451</v>
      </c>
    </row>
    <row r="270" spans="1:7" outlineLevel="2" x14ac:dyDescent="0.35">
      <c r="A270" s="8" t="s">
        <v>2451</v>
      </c>
      <c r="B270" s="8" t="s">
        <v>2451</v>
      </c>
      <c r="C270" s="8"/>
      <c r="D270" s="8" t="s">
        <v>981</v>
      </c>
      <c r="E270" s="8" t="s">
        <v>2451</v>
      </c>
      <c r="F270" s="8" t="s">
        <v>2451</v>
      </c>
      <c r="G270" s="8" t="s">
        <v>2451</v>
      </c>
    </row>
    <row r="271" spans="1:7" outlineLevel="1" x14ac:dyDescent="0.35">
      <c r="A271" s="8" t="s">
        <v>103</v>
      </c>
      <c r="B271" s="8" t="s">
        <v>238</v>
      </c>
      <c r="C271" s="8">
        <v>9</v>
      </c>
      <c r="D271" s="8" t="s">
        <v>2451</v>
      </c>
      <c r="E271" s="8" t="s">
        <v>2451</v>
      </c>
      <c r="F271" s="8" t="s">
        <v>2451</v>
      </c>
      <c r="G271" s="8" t="s">
        <v>2451</v>
      </c>
    </row>
    <row r="272" spans="1:7" outlineLevel="2" x14ac:dyDescent="0.35">
      <c r="A272" s="8" t="s">
        <v>2451</v>
      </c>
      <c r="B272" s="8" t="s">
        <v>2451</v>
      </c>
      <c r="C272" s="8"/>
      <c r="D272" s="8" t="s">
        <v>982</v>
      </c>
      <c r="E272" s="8" t="s">
        <v>2451</v>
      </c>
      <c r="F272" s="8" t="s">
        <v>2451</v>
      </c>
      <c r="G272" s="8" t="s">
        <v>2451</v>
      </c>
    </row>
    <row r="273" spans="1:7" outlineLevel="2" x14ac:dyDescent="0.35">
      <c r="A273" s="8" t="s">
        <v>2451</v>
      </c>
      <c r="B273" s="8" t="s">
        <v>2451</v>
      </c>
      <c r="C273" s="8"/>
      <c r="D273" s="8" t="s">
        <v>983</v>
      </c>
      <c r="E273" s="8" t="s">
        <v>2451</v>
      </c>
      <c r="F273" s="8" t="s">
        <v>2451</v>
      </c>
      <c r="G273" s="8" t="s">
        <v>2451</v>
      </c>
    </row>
    <row r="274" spans="1:7" outlineLevel="2" x14ac:dyDescent="0.35">
      <c r="A274" s="8" t="s">
        <v>2451</v>
      </c>
      <c r="B274" s="8" t="s">
        <v>2451</v>
      </c>
      <c r="C274" s="8"/>
      <c r="D274" s="8" t="s">
        <v>984</v>
      </c>
      <c r="E274" s="8" t="s">
        <v>2451</v>
      </c>
      <c r="F274" s="8" t="s">
        <v>2451</v>
      </c>
      <c r="G274" s="8" t="s">
        <v>2451</v>
      </c>
    </row>
    <row r="275" spans="1:7" outlineLevel="2" x14ac:dyDescent="0.35">
      <c r="A275" s="8" t="s">
        <v>2451</v>
      </c>
      <c r="B275" s="8" t="s">
        <v>2451</v>
      </c>
      <c r="C275" s="8"/>
      <c r="D275" s="8" t="s">
        <v>985</v>
      </c>
      <c r="E275" s="8" t="s">
        <v>2451</v>
      </c>
      <c r="F275" s="8" t="s">
        <v>2451</v>
      </c>
      <c r="G275" s="8" t="s">
        <v>2451</v>
      </c>
    </row>
    <row r="276" spans="1:7" outlineLevel="2" x14ac:dyDescent="0.35">
      <c r="A276" s="8" t="s">
        <v>2451</v>
      </c>
      <c r="B276" s="8" t="s">
        <v>2451</v>
      </c>
      <c r="C276" s="8"/>
      <c r="D276" s="8" t="s">
        <v>986</v>
      </c>
      <c r="E276" s="8" t="s">
        <v>2451</v>
      </c>
      <c r="F276" s="8" t="s">
        <v>2451</v>
      </c>
      <c r="G276" s="8" t="s">
        <v>2451</v>
      </c>
    </row>
    <row r="277" spans="1:7" outlineLevel="2" x14ac:dyDescent="0.35">
      <c r="A277" s="8" t="s">
        <v>2451</v>
      </c>
      <c r="B277" s="8" t="s">
        <v>2451</v>
      </c>
      <c r="C277" s="8"/>
      <c r="D277" s="8" t="s">
        <v>987</v>
      </c>
      <c r="E277" s="8" t="s">
        <v>2451</v>
      </c>
      <c r="F277" s="8" t="s">
        <v>2451</v>
      </c>
      <c r="G277" s="8" t="s">
        <v>2451</v>
      </c>
    </row>
    <row r="278" spans="1:7" outlineLevel="2" x14ac:dyDescent="0.35">
      <c r="A278" s="8" t="s">
        <v>2451</v>
      </c>
      <c r="B278" s="8" t="s">
        <v>2451</v>
      </c>
      <c r="C278" s="8"/>
      <c r="D278" s="8" t="s">
        <v>988</v>
      </c>
      <c r="E278" s="8" t="s">
        <v>2451</v>
      </c>
      <c r="F278" s="8" t="s">
        <v>2451</v>
      </c>
      <c r="G278" s="8" t="s">
        <v>2451</v>
      </c>
    </row>
    <row r="279" spans="1:7" outlineLevel="2" x14ac:dyDescent="0.35">
      <c r="A279" s="8" t="s">
        <v>2451</v>
      </c>
      <c r="B279" s="8" t="s">
        <v>2451</v>
      </c>
      <c r="C279" s="8"/>
      <c r="D279" s="8" t="s">
        <v>989</v>
      </c>
      <c r="E279" s="8" t="s">
        <v>2451</v>
      </c>
      <c r="F279" s="8" t="s">
        <v>2451</v>
      </c>
      <c r="G279" s="8" t="s">
        <v>2451</v>
      </c>
    </row>
    <row r="280" spans="1:7" outlineLevel="2" x14ac:dyDescent="0.35">
      <c r="A280" s="8" t="s">
        <v>2451</v>
      </c>
      <c r="B280" s="8" t="s">
        <v>2451</v>
      </c>
      <c r="C280" s="8"/>
      <c r="D280" s="8" t="s">
        <v>990</v>
      </c>
      <c r="E280" s="8" t="s">
        <v>2451</v>
      </c>
      <c r="F280" s="8" t="s">
        <v>2451</v>
      </c>
      <c r="G280" s="8" t="s">
        <v>2451</v>
      </c>
    </row>
    <row r="281" spans="1:7" outlineLevel="1" x14ac:dyDescent="0.35">
      <c r="A281" s="8" t="s">
        <v>103</v>
      </c>
      <c r="B281" s="8" t="s">
        <v>242</v>
      </c>
      <c r="C281" s="8">
        <v>12</v>
      </c>
      <c r="D281" s="8" t="s">
        <v>2451</v>
      </c>
      <c r="E281" s="8" t="s">
        <v>2451</v>
      </c>
      <c r="F281" s="8" t="s">
        <v>2451</v>
      </c>
      <c r="G281" s="8" t="s">
        <v>2451</v>
      </c>
    </row>
    <row r="282" spans="1:7" outlineLevel="2" x14ac:dyDescent="0.35">
      <c r="A282" s="8" t="s">
        <v>2451</v>
      </c>
      <c r="B282" s="8" t="s">
        <v>2451</v>
      </c>
      <c r="C282" s="8"/>
      <c r="D282" s="8" t="s">
        <v>1411</v>
      </c>
      <c r="E282" s="8" t="s">
        <v>2451</v>
      </c>
      <c r="F282" s="8" t="s">
        <v>2451</v>
      </c>
      <c r="G282" s="8" t="s">
        <v>2451</v>
      </c>
    </row>
    <row r="283" spans="1:7" outlineLevel="2" x14ac:dyDescent="0.35">
      <c r="A283" s="8" t="s">
        <v>2451</v>
      </c>
      <c r="B283" s="8" t="s">
        <v>2451</v>
      </c>
      <c r="C283" s="8"/>
      <c r="D283" s="8" t="s">
        <v>1412</v>
      </c>
      <c r="E283" s="8" t="s">
        <v>2451</v>
      </c>
      <c r="F283" s="8" t="s">
        <v>2451</v>
      </c>
      <c r="G283" s="8" t="s">
        <v>2451</v>
      </c>
    </row>
    <row r="284" spans="1:7" outlineLevel="2" x14ac:dyDescent="0.35">
      <c r="A284" s="8" t="s">
        <v>2451</v>
      </c>
      <c r="B284" s="8" t="s">
        <v>2451</v>
      </c>
      <c r="C284" s="8"/>
      <c r="D284" s="8" t="s">
        <v>1413</v>
      </c>
      <c r="E284" s="8" t="s">
        <v>2451</v>
      </c>
      <c r="F284" s="8" t="s">
        <v>2451</v>
      </c>
      <c r="G284" s="8" t="s">
        <v>2451</v>
      </c>
    </row>
    <row r="285" spans="1:7" outlineLevel="2" x14ac:dyDescent="0.35">
      <c r="A285" s="8" t="s">
        <v>2451</v>
      </c>
      <c r="B285" s="8" t="s">
        <v>2451</v>
      </c>
      <c r="C285" s="8"/>
      <c r="D285" s="8" t="s">
        <v>1414</v>
      </c>
      <c r="E285" s="8" t="s">
        <v>2451</v>
      </c>
      <c r="F285" s="8" t="s">
        <v>2451</v>
      </c>
      <c r="G285" s="8" t="s">
        <v>2451</v>
      </c>
    </row>
    <row r="286" spans="1:7" outlineLevel="2" x14ac:dyDescent="0.35">
      <c r="A286" s="8" t="s">
        <v>2451</v>
      </c>
      <c r="B286" s="8" t="s">
        <v>2451</v>
      </c>
      <c r="C286" s="8"/>
      <c r="D286" s="8" t="s">
        <v>1415</v>
      </c>
      <c r="E286" s="8" t="s">
        <v>2451</v>
      </c>
      <c r="F286" s="8" t="s">
        <v>2451</v>
      </c>
      <c r="G286" s="8" t="s">
        <v>2451</v>
      </c>
    </row>
    <row r="287" spans="1:7" outlineLevel="2" x14ac:dyDescent="0.35">
      <c r="A287" s="8" t="s">
        <v>2451</v>
      </c>
      <c r="B287" s="8" t="s">
        <v>2451</v>
      </c>
      <c r="C287" s="8"/>
      <c r="D287" s="8" t="s">
        <v>1416</v>
      </c>
      <c r="E287" s="8" t="s">
        <v>2451</v>
      </c>
      <c r="F287" s="8" t="s">
        <v>2451</v>
      </c>
      <c r="G287" s="8" t="s">
        <v>2451</v>
      </c>
    </row>
    <row r="288" spans="1:7" outlineLevel="2" x14ac:dyDescent="0.35">
      <c r="A288" s="8" t="s">
        <v>2451</v>
      </c>
      <c r="B288" s="8" t="s">
        <v>2451</v>
      </c>
      <c r="C288" s="8"/>
      <c r="D288" s="8" t="s">
        <v>1417</v>
      </c>
      <c r="E288" s="8" t="s">
        <v>2451</v>
      </c>
      <c r="F288" s="8" t="s">
        <v>2451</v>
      </c>
      <c r="G288" s="8" t="s">
        <v>2451</v>
      </c>
    </row>
    <row r="289" spans="1:7" outlineLevel="2" x14ac:dyDescent="0.35">
      <c r="A289" s="8" t="s">
        <v>2451</v>
      </c>
      <c r="B289" s="8" t="s">
        <v>2451</v>
      </c>
      <c r="C289" s="8"/>
      <c r="D289" s="8" t="s">
        <v>1418</v>
      </c>
      <c r="E289" s="8" t="s">
        <v>2451</v>
      </c>
      <c r="F289" s="8" t="s">
        <v>2451</v>
      </c>
      <c r="G289" s="8" t="s">
        <v>2451</v>
      </c>
    </row>
    <row r="290" spans="1:7" outlineLevel="2" x14ac:dyDescent="0.35">
      <c r="A290" s="8" t="s">
        <v>2451</v>
      </c>
      <c r="B290" s="8" t="s">
        <v>2451</v>
      </c>
      <c r="C290" s="8"/>
      <c r="D290" s="8" t="s">
        <v>1419</v>
      </c>
      <c r="E290" s="8" t="s">
        <v>2451</v>
      </c>
      <c r="F290" s="8" t="s">
        <v>2451</v>
      </c>
      <c r="G290" s="8" t="s">
        <v>2451</v>
      </c>
    </row>
    <row r="291" spans="1:7" outlineLevel="2" x14ac:dyDescent="0.35">
      <c r="A291" s="8" t="s">
        <v>2451</v>
      </c>
      <c r="B291" s="8" t="s">
        <v>2451</v>
      </c>
      <c r="C291" s="8"/>
      <c r="D291" s="8" t="s">
        <v>1420</v>
      </c>
      <c r="E291" s="8" t="s">
        <v>2451</v>
      </c>
      <c r="F291" s="8" t="s">
        <v>2451</v>
      </c>
      <c r="G291" s="8" t="s">
        <v>2451</v>
      </c>
    </row>
    <row r="292" spans="1:7" outlineLevel="2" x14ac:dyDescent="0.35">
      <c r="A292" s="8" t="s">
        <v>2451</v>
      </c>
      <c r="B292" s="8" t="s">
        <v>2451</v>
      </c>
      <c r="C292" s="8"/>
      <c r="D292" s="8" t="s">
        <v>1421</v>
      </c>
      <c r="E292" s="8" t="s">
        <v>2451</v>
      </c>
      <c r="F292" s="8" t="s">
        <v>2451</v>
      </c>
      <c r="G292" s="8" t="s">
        <v>2451</v>
      </c>
    </row>
    <row r="293" spans="1:7" outlineLevel="2" x14ac:dyDescent="0.35">
      <c r="A293" s="8" t="s">
        <v>2451</v>
      </c>
      <c r="B293" s="8" t="s">
        <v>2451</v>
      </c>
      <c r="C293" s="8"/>
      <c r="D293" s="8" t="s">
        <v>1422</v>
      </c>
      <c r="E293" s="8" t="s">
        <v>2451</v>
      </c>
      <c r="F293" s="8" t="s">
        <v>2451</v>
      </c>
      <c r="G293" s="8" t="s">
        <v>2451</v>
      </c>
    </row>
    <row r="294" spans="1:7" outlineLevel="1" x14ac:dyDescent="0.35">
      <c r="A294" s="8" t="s">
        <v>103</v>
      </c>
      <c r="B294" s="8" t="s">
        <v>247</v>
      </c>
      <c r="C294" s="8">
        <v>4</v>
      </c>
      <c r="D294" s="8" t="s">
        <v>2451</v>
      </c>
      <c r="E294" s="8" t="s">
        <v>2451</v>
      </c>
      <c r="F294" s="8" t="s">
        <v>2451</v>
      </c>
      <c r="G294" s="8" t="s">
        <v>2451</v>
      </c>
    </row>
    <row r="295" spans="1:7" outlineLevel="2" x14ac:dyDescent="0.35">
      <c r="A295" s="8" t="s">
        <v>2451</v>
      </c>
      <c r="B295" s="8" t="s">
        <v>2451</v>
      </c>
      <c r="C295" s="8"/>
      <c r="D295" s="8" t="s">
        <v>1407</v>
      </c>
      <c r="E295" s="8" t="s">
        <v>2451</v>
      </c>
      <c r="F295" s="8" t="s">
        <v>2451</v>
      </c>
      <c r="G295" s="8" t="s">
        <v>2451</v>
      </c>
    </row>
    <row r="296" spans="1:7" outlineLevel="2" x14ac:dyDescent="0.35">
      <c r="A296" s="8" t="s">
        <v>2451</v>
      </c>
      <c r="B296" s="8" t="s">
        <v>2451</v>
      </c>
      <c r="C296" s="8"/>
      <c r="D296" s="8" t="s">
        <v>1408</v>
      </c>
      <c r="E296" s="8" t="s">
        <v>2451</v>
      </c>
      <c r="F296" s="8" t="s">
        <v>2451</v>
      </c>
      <c r="G296" s="8" t="s">
        <v>2451</v>
      </c>
    </row>
    <row r="297" spans="1:7" outlineLevel="2" x14ac:dyDescent="0.35">
      <c r="A297" s="8" t="s">
        <v>2451</v>
      </c>
      <c r="B297" s="8" t="s">
        <v>2451</v>
      </c>
      <c r="C297" s="8"/>
      <c r="D297" s="8" t="s">
        <v>1409</v>
      </c>
      <c r="E297" s="8" t="s">
        <v>2451</v>
      </c>
      <c r="F297" s="8" t="s">
        <v>2451</v>
      </c>
      <c r="G297" s="8" t="s">
        <v>2451</v>
      </c>
    </row>
    <row r="298" spans="1:7" outlineLevel="2" x14ac:dyDescent="0.35">
      <c r="A298" s="8" t="s">
        <v>2451</v>
      </c>
      <c r="B298" s="8" t="s">
        <v>2451</v>
      </c>
      <c r="C298" s="8"/>
      <c r="D298" s="8" t="s">
        <v>1410</v>
      </c>
      <c r="E298" s="8" t="s">
        <v>2451</v>
      </c>
      <c r="F298" s="8" t="s">
        <v>2451</v>
      </c>
      <c r="G298" s="8" t="s">
        <v>2451</v>
      </c>
    </row>
    <row r="299" spans="1:7" outlineLevel="1" x14ac:dyDescent="0.35">
      <c r="A299" s="8" t="s">
        <v>103</v>
      </c>
      <c r="B299" s="8" t="s">
        <v>253</v>
      </c>
      <c r="C299" s="8">
        <v>2</v>
      </c>
      <c r="D299" s="8" t="s">
        <v>2451</v>
      </c>
      <c r="E299" s="8" t="s">
        <v>2451</v>
      </c>
      <c r="F299" s="8" t="s">
        <v>2451</v>
      </c>
      <c r="G299" s="8" t="s">
        <v>2451</v>
      </c>
    </row>
    <row r="300" spans="1:7" outlineLevel="2" x14ac:dyDescent="0.35">
      <c r="A300" s="8" t="s">
        <v>2451</v>
      </c>
      <c r="B300" s="8" t="s">
        <v>2451</v>
      </c>
      <c r="C300" s="8"/>
      <c r="D300" s="8" t="s">
        <v>1405</v>
      </c>
      <c r="E300" s="8" t="s">
        <v>2451</v>
      </c>
      <c r="F300" s="8" t="s">
        <v>2451</v>
      </c>
      <c r="G300" s="8" t="s">
        <v>2451</v>
      </c>
    </row>
    <row r="301" spans="1:7" outlineLevel="2" x14ac:dyDescent="0.35">
      <c r="A301" s="8" t="s">
        <v>2451</v>
      </c>
      <c r="B301" s="8" t="s">
        <v>2451</v>
      </c>
      <c r="C301" s="8"/>
      <c r="D301" s="8" t="s">
        <v>1406</v>
      </c>
      <c r="E301" s="8" t="s">
        <v>2451</v>
      </c>
      <c r="F301" s="8" t="s">
        <v>2451</v>
      </c>
      <c r="G301" s="8" t="s">
        <v>2451</v>
      </c>
    </row>
    <row r="302" spans="1:7" outlineLevel="1" x14ac:dyDescent="0.35">
      <c r="A302" s="8" t="s">
        <v>72</v>
      </c>
      <c r="B302" s="8" t="s">
        <v>255</v>
      </c>
      <c r="C302" s="8">
        <v>4</v>
      </c>
      <c r="D302" s="8" t="s">
        <v>2451</v>
      </c>
      <c r="E302" s="8" t="s">
        <v>2451</v>
      </c>
      <c r="F302" s="8" t="s">
        <v>2451</v>
      </c>
      <c r="G302" s="8" t="s">
        <v>2451</v>
      </c>
    </row>
    <row r="303" spans="1:7" outlineLevel="2" x14ac:dyDescent="0.35">
      <c r="A303" s="8" t="s">
        <v>2451</v>
      </c>
      <c r="B303" s="8" t="s">
        <v>2451</v>
      </c>
      <c r="C303" s="8"/>
      <c r="D303" s="8" t="s">
        <v>1401</v>
      </c>
      <c r="E303" s="8" t="s">
        <v>2451</v>
      </c>
      <c r="F303" s="8" t="s">
        <v>2451</v>
      </c>
      <c r="G303" s="8" t="s">
        <v>2451</v>
      </c>
    </row>
    <row r="304" spans="1:7" outlineLevel="2" x14ac:dyDescent="0.35">
      <c r="A304" s="8" t="s">
        <v>2451</v>
      </c>
      <c r="B304" s="8" t="s">
        <v>2451</v>
      </c>
      <c r="C304" s="8"/>
      <c r="D304" s="8" t="s">
        <v>1402</v>
      </c>
      <c r="E304" s="8" t="s">
        <v>2451</v>
      </c>
      <c r="F304" s="8" t="s">
        <v>2451</v>
      </c>
      <c r="G304" s="8" t="s">
        <v>2451</v>
      </c>
    </row>
    <row r="305" spans="1:7" outlineLevel="2" x14ac:dyDescent="0.35">
      <c r="A305" s="8" t="s">
        <v>2451</v>
      </c>
      <c r="B305" s="8" t="s">
        <v>2451</v>
      </c>
      <c r="C305" s="8"/>
      <c r="D305" s="8" t="s">
        <v>1403</v>
      </c>
      <c r="E305" s="8" t="s">
        <v>2451</v>
      </c>
      <c r="F305" s="8" t="s">
        <v>2451</v>
      </c>
      <c r="G305" s="8" t="s">
        <v>2451</v>
      </c>
    </row>
    <row r="306" spans="1:7" outlineLevel="2" x14ac:dyDescent="0.35">
      <c r="A306" s="8" t="s">
        <v>2451</v>
      </c>
      <c r="B306" s="8" t="s">
        <v>2451</v>
      </c>
      <c r="C306" s="8"/>
      <c r="D306" s="8" t="s">
        <v>1404</v>
      </c>
      <c r="E306" s="8" t="s">
        <v>2451</v>
      </c>
      <c r="F306" s="8" t="s">
        <v>2451</v>
      </c>
      <c r="G306" s="8" t="s">
        <v>2451</v>
      </c>
    </row>
    <row r="307" spans="1:7" outlineLevel="1" x14ac:dyDescent="0.35">
      <c r="A307" s="8" t="s">
        <v>72</v>
      </c>
      <c r="B307" s="8" t="s">
        <v>2459</v>
      </c>
      <c r="C307" s="8">
        <v>9</v>
      </c>
      <c r="D307" s="8" t="s">
        <v>2451</v>
      </c>
      <c r="E307" s="8" t="s">
        <v>2451</v>
      </c>
      <c r="F307" s="8" t="s">
        <v>2451</v>
      </c>
      <c r="G307" s="8" t="s">
        <v>2451</v>
      </c>
    </row>
    <row r="308" spans="1:7" outlineLevel="2" x14ac:dyDescent="0.35">
      <c r="A308" s="8" t="s">
        <v>2451</v>
      </c>
      <c r="B308" s="8" t="s">
        <v>2451</v>
      </c>
      <c r="C308" s="8"/>
      <c r="D308" s="8" t="s">
        <v>1392</v>
      </c>
      <c r="E308" s="8" t="s">
        <v>2451</v>
      </c>
      <c r="F308" s="8" t="s">
        <v>2451</v>
      </c>
      <c r="G308" s="8" t="s">
        <v>2451</v>
      </c>
    </row>
    <row r="309" spans="1:7" outlineLevel="2" x14ac:dyDescent="0.35">
      <c r="A309" s="8" t="s">
        <v>2451</v>
      </c>
      <c r="B309" s="8" t="s">
        <v>2451</v>
      </c>
      <c r="C309" s="8"/>
      <c r="D309" s="8" t="s">
        <v>1393</v>
      </c>
      <c r="E309" s="8" t="s">
        <v>2451</v>
      </c>
      <c r="F309" s="8" t="s">
        <v>2451</v>
      </c>
      <c r="G309" s="8" t="s">
        <v>2451</v>
      </c>
    </row>
    <row r="310" spans="1:7" outlineLevel="2" x14ac:dyDescent="0.35">
      <c r="A310" s="8" t="s">
        <v>2451</v>
      </c>
      <c r="B310" s="8" t="s">
        <v>2451</v>
      </c>
      <c r="C310" s="8"/>
      <c r="D310" s="8" t="s">
        <v>1394</v>
      </c>
      <c r="E310" s="8" t="s">
        <v>2451</v>
      </c>
      <c r="F310" s="8" t="s">
        <v>2451</v>
      </c>
      <c r="G310" s="8" t="s">
        <v>2451</v>
      </c>
    </row>
    <row r="311" spans="1:7" outlineLevel="2" x14ac:dyDescent="0.35">
      <c r="A311" s="8" t="s">
        <v>2451</v>
      </c>
      <c r="B311" s="8" t="s">
        <v>2451</v>
      </c>
      <c r="C311" s="8"/>
      <c r="D311" s="8" t="s">
        <v>1395</v>
      </c>
      <c r="E311" s="8" t="s">
        <v>2451</v>
      </c>
      <c r="F311" s="8" t="s">
        <v>2451</v>
      </c>
      <c r="G311" s="8" t="s">
        <v>2451</v>
      </c>
    </row>
    <row r="312" spans="1:7" outlineLevel="2" x14ac:dyDescent="0.35">
      <c r="A312" s="8" t="s">
        <v>2451</v>
      </c>
      <c r="B312" s="8" t="s">
        <v>2451</v>
      </c>
      <c r="C312" s="8"/>
      <c r="D312" s="8" t="s">
        <v>1396</v>
      </c>
      <c r="E312" s="8" t="s">
        <v>2451</v>
      </c>
      <c r="F312" s="8" t="s">
        <v>2451</v>
      </c>
      <c r="G312" s="8" t="s">
        <v>2451</v>
      </c>
    </row>
    <row r="313" spans="1:7" outlineLevel="2" x14ac:dyDescent="0.35">
      <c r="A313" s="8" t="s">
        <v>2451</v>
      </c>
      <c r="B313" s="8" t="s">
        <v>2451</v>
      </c>
      <c r="C313" s="8"/>
      <c r="D313" s="8" t="s">
        <v>1397</v>
      </c>
      <c r="E313" s="8" t="s">
        <v>2451</v>
      </c>
      <c r="F313" s="8" t="s">
        <v>2451</v>
      </c>
      <c r="G313" s="8" t="s">
        <v>2451</v>
      </c>
    </row>
    <row r="314" spans="1:7" outlineLevel="2" x14ac:dyDescent="0.35">
      <c r="A314" s="8" t="s">
        <v>2451</v>
      </c>
      <c r="B314" s="8" t="s">
        <v>2451</v>
      </c>
      <c r="C314" s="8"/>
      <c r="D314" s="8" t="s">
        <v>1398</v>
      </c>
      <c r="E314" s="8" t="s">
        <v>2451</v>
      </c>
      <c r="F314" s="8" t="s">
        <v>2451</v>
      </c>
      <c r="G314" s="8" t="s">
        <v>2451</v>
      </c>
    </row>
    <row r="315" spans="1:7" outlineLevel="2" x14ac:dyDescent="0.35">
      <c r="A315" s="8" t="s">
        <v>2451</v>
      </c>
      <c r="B315" s="8" t="s">
        <v>2451</v>
      </c>
      <c r="C315" s="8"/>
      <c r="D315" s="8" t="s">
        <v>1399</v>
      </c>
      <c r="E315" s="8" t="s">
        <v>2451</v>
      </c>
      <c r="F315" s="8" t="s">
        <v>2451</v>
      </c>
      <c r="G315" s="8" t="s">
        <v>2451</v>
      </c>
    </row>
    <row r="316" spans="1:7" outlineLevel="2" x14ac:dyDescent="0.35">
      <c r="A316" s="8" t="s">
        <v>2451</v>
      </c>
      <c r="B316" s="8" t="s">
        <v>2451</v>
      </c>
      <c r="C316" s="8"/>
      <c r="D316" s="8" t="s">
        <v>1400</v>
      </c>
      <c r="E316" s="8" t="s">
        <v>2451</v>
      </c>
      <c r="F316" s="8" t="s">
        <v>2451</v>
      </c>
      <c r="G316" s="8" t="s">
        <v>2451</v>
      </c>
    </row>
    <row r="317" spans="1:7" outlineLevel="1" x14ac:dyDescent="0.35">
      <c r="A317" s="8" t="s">
        <v>72</v>
      </c>
      <c r="B317" s="8" t="s">
        <v>263</v>
      </c>
      <c r="C317" s="8">
        <v>9</v>
      </c>
      <c r="D317" s="8" t="s">
        <v>2451</v>
      </c>
      <c r="E317" s="8" t="s">
        <v>2451</v>
      </c>
      <c r="F317" s="8" t="s">
        <v>2451</v>
      </c>
      <c r="G317" s="8" t="s">
        <v>2451</v>
      </c>
    </row>
    <row r="318" spans="1:7" outlineLevel="2" x14ac:dyDescent="0.35">
      <c r="A318" s="8" t="s">
        <v>2451</v>
      </c>
      <c r="B318" s="8" t="s">
        <v>2451</v>
      </c>
      <c r="C318" s="8"/>
      <c r="D318" s="8" t="s">
        <v>1383</v>
      </c>
      <c r="E318" s="8" t="s">
        <v>2451</v>
      </c>
      <c r="F318" s="8" t="s">
        <v>2451</v>
      </c>
      <c r="G318" s="8" t="s">
        <v>2451</v>
      </c>
    </row>
    <row r="319" spans="1:7" outlineLevel="2" x14ac:dyDescent="0.35">
      <c r="A319" s="8" t="s">
        <v>2451</v>
      </c>
      <c r="B319" s="8" t="s">
        <v>2451</v>
      </c>
      <c r="C319" s="8"/>
      <c r="D319" s="8" t="s">
        <v>1384</v>
      </c>
      <c r="E319" s="8" t="s">
        <v>2451</v>
      </c>
      <c r="F319" s="8" t="s">
        <v>2451</v>
      </c>
      <c r="G319" s="8" t="s">
        <v>2451</v>
      </c>
    </row>
    <row r="320" spans="1:7" outlineLevel="2" x14ac:dyDescent="0.35">
      <c r="A320" s="8" t="s">
        <v>2451</v>
      </c>
      <c r="B320" s="8" t="s">
        <v>2451</v>
      </c>
      <c r="C320" s="8"/>
      <c r="D320" s="8" t="s">
        <v>1385</v>
      </c>
      <c r="E320" s="8" t="s">
        <v>2451</v>
      </c>
      <c r="F320" s="8" t="s">
        <v>2451</v>
      </c>
      <c r="G320" s="8" t="s">
        <v>2451</v>
      </c>
    </row>
    <row r="321" spans="1:7" outlineLevel="2" x14ac:dyDescent="0.35">
      <c r="A321" s="8" t="s">
        <v>2451</v>
      </c>
      <c r="B321" s="8" t="s">
        <v>2451</v>
      </c>
      <c r="C321" s="8"/>
      <c r="D321" s="8" t="s">
        <v>1386</v>
      </c>
      <c r="E321" s="8" t="s">
        <v>2451</v>
      </c>
      <c r="F321" s="8" t="s">
        <v>2451</v>
      </c>
      <c r="G321" s="8" t="s">
        <v>2451</v>
      </c>
    </row>
    <row r="322" spans="1:7" outlineLevel="2" x14ac:dyDescent="0.35">
      <c r="A322" s="8" t="s">
        <v>2451</v>
      </c>
      <c r="B322" s="8" t="s">
        <v>2451</v>
      </c>
      <c r="C322" s="8"/>
      <c r="D322" s="8" t="s">
        <v>1387</v>
      </c>
      <c r="E322" s="8" t="s">
        <v>2451</v>
      </c>
      <c r="F322" s="8" t="s">
        <v>2451</v>
      </c>
      <c r="G322" s="8" t="s">
        <v>2451</v>
      </c>
    </row>
    <row r="323" spans="1:7" outlineLevel="2" x14ac:dyDescent="0.35">
      <c r="A323" s="8" t="s">
        <v>2451</v>
      </c>
      <c r="B323" s="8" t="s">
        <v>2451</v>
      </c>
      <c r="C323" s="8"/>
      <c r="D323" s="8" t="s">
        <v>1388</v>
      </c>
      <c r="E323" s="8" t="s">
        <v>2451</v>
      </c>
      <c r="F323" s="8" t="s">
        <v>2451</v>
      </c>
      <c r="G323" s="8" t="s">
        <v>2451</v>
      </c>
    </row>
    <row r="324" spans="1:7" outlineLevel="2" x14ac:dyDescent="0.35">
      <c r="A324" s="8" t="s">
        <v>2451</v>
      </c>
      <c r="B324" s="8" t="s">
        <v>2451</v>
      </c>
      <c r="C324" s="8"/>
      <c r="D324" s="8" t="s">
        <v>1389</v>
      </c>
      <c r="E324" s="8" t="s">
        <v>2451</v>
      </c>
      <c r="F324" s="8" t="s">
        <v>2451</v>
      </c>
      <c r="G324" s="8" t="s">
        <v>2451</v>
      </c>
    </row>
    <row r="325" spans="1:7" outlineLevel="2" x14ac:dyDescent="0.35">
      <c r="A325" s="8" t="s">
        <v>2451</v>
      </c>
      <c r="B325" s="8" t="s">
        <v>2451</v>
      </c>
      <c r="C325" s="8"/>
      <c r="D325" s="8" t="s">
        <v>1390</v>
      </c>
      <c r="E325" s="8" t="s">
        <v>2451</v>
      </c>
      <c r="F325" s="8" t="s">
        <v>2451</v>
      </c>
      <c r="G325" s="8" t="s">
        <v>2451</v>
      </c>
    </row>
    <row r="326" spans="1:7" outlineLevel="2" x14ac:dyDescent="0.35">
      <c r="A326" s="8" t="s">
        <v>2451</v>
      </c>
      <c r="B326" s="8" t="s">
        <v>2451</v>
      </c>
      <c r="C326" s="8"/>
      <c r="D326" s="8" t="s">
        <v>1391</v>
      </c>
      <c r="E326" s="8" t="s">
        <v>2451</v>
      </c>
      <c r="F326" s="8" t="s">
        <v>2451</v>
      </c>
      <c r="G326" s="8" t="s">
        <v>2451</v>
      </c>
    </row>
    <row r="327" spans="1:7" outlineLevel="1" x14ac:dyDescent="0.35">
      <c r="A327" s="8" t="s">
        <v>268</v>
      </c>
      <c r="B327" s="8" t="s">
        <v>269</v>
      </c>
      <c r="C327" s="8">
        <v>5</v>
      </c>
      <c r="D327" s="8" t="s">
        <v>2451</v>
      </c>
      <c r="E327" s="8" t="s">
        <v>2451</v>
      </c>
      <c r="F327" s="8" t="s">
        <v>2451</v>
      </c>
      <c r="G327" s="8" t="s">
        <v>2451</v>
      </c>
    </row>
    <row r="328" spans="1:7" outlineLevel="2" x14ac:dyDescent="0.35">
      <c r="A328" s="8" t="s">
        <v>2451</v>
      </c>
      <c r="B328" s="8" t="s">
        <v>2451</v>
      </c>
      <c r="C328" s="8"/>
      <c r="D328" s="8" t="s">
        <v>1378</v>
      </c>
      <c r="E328" s="8" t="s">
        <v>2451</v>
      </c>
      <c r="F328" s="8" t="s">
        <v>2451</v>
      </c>
      <c r="G328" s="8" t="s">
        <v>2451</v>
      </c>
    </row>
    <row r="329" spans="1:7" outlineLevel="2" x14ac:dyDescent="0.35">
      <c r="A329" s="8" t="s">
        <v>2451</v>
      </c>
      <c r="B329" s="8" t="s">
        <v>2451</v>
      </c>
      <c r="C329" s="8"/>
      <c r="D329" s="8" t="s">
        <v>1379</v>
      </c>
      <c r="E329" s="8" t="s">
        <v>2451</v>
      </c>
      <c r="F329" s="8" t="s">
        <v>2451</v>
      </c>
      <c r="G329" s="8" t="s">
        <v>2451</v>
      </c>
    </row>
    <row r="330" spans="1:7" outlineLevel="2" x14ac:dyDescent="0.35">
      <c r="A330" s="8" t="s">
        <v>2451</v>
      </c>
      <c r="B330" s="8" t="s">
        <v>2451</v>
      </c>
      <c r="C330" s="8"/>
      <c r="D330" s="8" t="s">
        <v>1380</v>
      </c>
      <c r="E330" s="8" t="s">
        <v>2451</v>
      </c>
      <c r="F330" s="8" t="s">
        <v>2451</v>
      </c>
      <c r="G330" s="8" t="s">
        <v>2451</v>
      </c>
    </row>
    <row r="331" spans="1:7" outlineLevel="2" x14ac:dyDescent="0.35">
      <c r="A331" s="8" t="s">
        <v>2451</v>
      </c>
      <c r="B331" s="8" t="s">
        <v>2451</v>
      </c>
      <c r="C331" s="8"/>
      <c r="D331" s="8" t="s">
        <v>1381</v>
      </c>
      <c r="E331" s="8" t="s">
        <v>2451</v>
      </c>
      <c r="F331" s="8" t="s">
        <v>2451</v>
      </c>
      <c r="G331" s="8" t="s">
        <v>2451</v>
      </c>
    </row>
    <row r="332" spans="1:7" outlineLevel="2" x14ac:dyDescent="0.35">
      <c r="A332" s="8" t="s">
        <v>2451</v>
      </c>
      <c r="B332" s="8" t="s">
        <v>2451</v>
      </c>
      <c r="C332" s="8"/>
      <c r="D332" s="8" t="s">
        <v>1382</v>
      </c>
      <c r="E332" s="8" t="s">
        <v>2451</v>
      </c>
      <c r="F332" s="8" t="s">
        <v>2451</v>
      </c>
      <c r="G332" s="8" t="s">
        <v>2451</v>
      </c>
    </row>
    <row r="333" spans="1:7" outlineLevel="1" x14ac:dyDescent="0.35">
      <c r="A333" s="8" t="s">
        <v>83</v>
      </c>
      <c r="B333" s="8" t="s">
        <v>274</v>
      </c>
      <c r="C333" s="8">
        <v>9</v>
      </c>
      <c r="D333" s="8" t="s">
        <v>2451</v>
      </c>
      <c r="E333" s="8" t="s">
        <v>2451</v>
      </c>
      <c r="F333" s="8" t="s">
        <v>2451</v>
      </c>
      <c r="G333" s="8" t="s">
        <v>2451</v>
      </c>
    </row>
    <row r="334" spans="1:7" outlineLevel="2" x14ac:dyDescent="0.35">
      <c r="A334" s="8" t="s">
        <v>2451</v>
      </c>
      <c r="B334" s="8" t="s">
        <v>2451</v>
      </c>
      <c r="C334" s="8"/>
      <c r="D334" s="8" t="s">
        <v>1369</v>
      </c>
      <c r="E334" s="8" t="s">
        <v>2451</v>
      </c>
      <c r="F334" s="8" t="s">
        <v>2451</v>
      </c>
      <c r="G334" s="8" t="s">
        <v>2451</v>
      </c>
    </row>
    <row r="335" spans="1:7" outlineLevel="2" x14ac:dyDescent="0.35">
      <c r="A335" s="8" t="s">
        <v>2451</v>
      </c>
      <c r="B335" s="8" t="s">
        <v>2451</v>
      </c>
      <c r="C335" s="8"/>
      <c r="D335" s="8" t="s">
        <v>1370</v>
      </c>
      <c r="E335" s="8" t="s">
        <v>2451</v>
      </c>
      <c r="F335" s="8" t="s">
        <v>2451</v>
      </c>
      <c r="G335" s="8" t="s">
        <v>2451</v>
      </c>
    </row>
    <row r="336" spans="1:7" outlineLevel="2" x14ac:dyDescent="0.35">
      <c r="A336" s="8" t="s">
        <v>2451</v>
      </c>
      <c r="B336" s="8" t="s">
        <v>2451</v>
      </c>
      <c r="C336" s="8"/>
      <c r="D336" s="8" t="s">
        <v>1371</v>
      </c>
      <c r="E336" s="8" t="s">
        <v>2451</v>
      </c>
      <c r="F336" s="8" t="s">
        <v>2451</v>
      </c>
      <c r="G336" s="8" t="s">
        <v>2451</v>
      </c>
    </row>
    <row r="337" spans="1:7" outlineLevel="2" x14ac:dyDescent="0.35">
      <c r="A337" s="8" t="s">
        <v>2451</v>
      </c>
      <c r="B337" s="8" t="s">
        <v>2451</v>
      </c>
      <c r="C337" s="8"/>
      <c r="D337" s="8" t="s">
        <v>1372</v>
      </c>
      <c r="E337" s="8" t="s">
        <v>2451</v>
      </c>
      <c r="F337" s="8" t="s">
        <v>2451</v>
      </c>
      <c r="G337" s="8" t="s">
        <v>2451</v>
      </c>
    </row>
    <row r="338" spans="1:7" outlineLevel="2" x14ac:dyDescent="0.35">
      <c r="A338" s="8" t="s">
        <v>2451</v>
      </c>
      <c r="B338" s="8" t="s">
        <v>2451</v>
      </c>
      <c r="C338" s="8"/>
      <c r="D338" s="8" t="s">
        <v>1373</v>
      </c>
      <c r="E338" s="8" t="s">
        <v>2451</v>
      </c>
      <c r="F338" s="8" t="s">
        <v>2451</v>
      </c>
      <c r="G338" s="8" t="s">
        <v>2451</v>
      </c>
    </row>
    <row r="339" spans="1:7" outlineLevel="2" x14ac:dyDescent="0.35">
      <c r="A339" s="8" t="s">
        <v>2451</v>
      </c>
      <c r="B339" s="8" t="s">
        <v>2451</v>
      </c>
      <c r="C339" s="8"/>
      <c r="D339" s="8" t="s">
        <v>1374</v>
      </c>
      <c r="E339" s="8" t="s">
        <v>2451</v>
      </c>
      <c r="F339" s="8" t="s">
        <v>2451</v>
      </c>
      <c r="G339" s="8" t="s">
        <v>2451</v>
      </c>
    </row>
    <row r="340" spans="1:7" outlineLevel="2" x14ac:dyDescent="0.35">
      <c r="A340" s="8" t="s">
        <v>2451</v>
      </c>
      <c r="B340" s="8" t="s">
        <v>2451</v>
      </c>
      <c r="C340" s="8"/>
      <c r="D340" s="8" t="s">
        <v>1375</v>
      </c>
      <c r="E340" s="8" t="s">
        <v>2451</v>
      </c>
      <c r="F340" s="8" t="s">
        <v>2451</v>
      </c>
      <c r="G340" s="8" t="s">
        <v>2451</v>
      </c>
    </row>
    <row r="341" spans="1:7" outlineLevel="2" x14ac:dyDescent="0.35">
      <c r="A341" s="8" t="s">
        <v>2451</v>
      </c>
      <c r="B341" s="8" t="s">
        <v>2451</v>
      </c>
      <c r="C341" s="8"/>
      <c r="D341" s="8" t="s">
        <v>1376</v>
      </c>
      <c r="E341" s="8" t="s">
        <v>2451</v>
      </c>
      <c r="F341" s="8" t="s">
        <v>2451</v>
      </c>
      <c r="G341" s="8" t="s">
        <v>2451</v>
      </c>
    </row>
    <row r="342" spans="1:7" outlineLevel="2" x14ac:dyDescent="0.35">
      <c r="A342" s="8" t="s">
        <v>2451</v>
      </c>
      <c r="B342" s="8" t="s">
        <v>2451</v>
      </c>
      <c r="C342" s="8"/>
      <c r="D342" s="8" t="s">
        <v>1377</v>
      </c>
      <c r="E342" s="8" t="s">
        <v>2451</v>
      </c>
      <c r="F342" s="8" t="s">
        <v>2451</v>
      </c>
      <c r="G342" s="8" t="s">
        <v>2451</v>
      </c>
    </row>
    <row r="343" spans="1:7" outlineLevel="1" x14ac:dyDescent="0.35">
      <c r="A343" s="8" t="s">
        <v>83</v>
      </c>
      <c r="B343" s="8" t="s">
        <v>279</v>
      </c>
      <c r="C343" s="8">
        <v>7</v>
      </c>
      <c r="D343" s="8" t="s">
        <v>2451</v>
      </c>
      <c r="E343" s="8" t="s">
        <v>2451</v>
      </c>
      <c r="F343" s="8" t="s">
        <v>2451</v>
      </c>
      <c r="G343" s="8" t="s">
        <v>2451</v>
      </c>
    </row>
    <row r="344" spans="1:7" outlineLevel="2" x14ac:dyDescent="0.35">
      <c r="A344" s="8" t="s">
        <v>2451</v>
      </c>
      <c r="B344" s="8" t="s">
        <v>2451</v>
      </c>
      <c r="C344" s="8"/>
      <c r="D344" s="8" t="s">
        <v>1362</v>
      </c>
      <c r="E344" s="8" t="s">
        <v>2451</v>
      </c>
      <c r="F344" s="8" t="s">
        <v>2451</v>
      </c>
      <c r="G344" s="8" t="s">
        <v>2451</v>
      </c>
    </row>
    <row r="345" spans="1:7" outlineLevel="2" x14ac:dyDescent="0.35">
      <c r="A345" s="8" t="s">
        <v>2451</v>
      </c>
      <c r="B345" s="8" t="s">
        <v>2451</v>
      </c>
      <c r="C345" s="8"/>
      <c r="D345" s="8" t="s">
        <v>1363</v>
      </c>
      <c r="E345" s="8" t="s">
        <v>2451</v>
      </c>
      <c r="F345" s="8" t="s">
        <v>2451</v>
      </c>
      <c r="G345" s="8" t="s">
        <v>2451</v>
      </c>
    </row>
    <row r="346" spans="1:7" outlineLevel="2" x14ac:dyDescent="0.35">
      <c r="A346" s="8" t="s">
        <v>2451</v>
      </c>
      <c r="B346" s="8" t="s">
        <v>2451</v>
      </c>
      <c r="C346" s="8"/>
      <c r="D346" s="8" t="s">
        <v>1364</v>
      </c>
      <c r="E346" s="8" t="s">
        <v>2451</v>
      </c>
      <c r="F346" s="8" t="s">
        <v>2451</v>
      </c>
      <c r="G346" s="8" t="s">
        <v>2451</v>
      </c>
    </row>
    <row r="347" spans="1:7" outlineLevel="2" x14ac:dyDescent="0.35">
      <c r="A347" s="8" t="s">
        <v>2451</v>
      </c>
      <c r="B347" s="8" t="s">
        <v>2451</v>
      </c>
      <c r="C347" s="8"/>
      <c r="D347" s="8" t="s">
        <v>1365</v>
      </c>
      <c r="E347" s="8" t="s">
        <v>2451</v>
      </c>
      <c r="F347" s="8" t="s">
        <v>2451</v>
      </c>
      <c r="G347" s="8" t="s">
        <v>2451</v>
      </c>
    </row>
    <row r="348" spans="1:7" outlineLevel="2" x14ac:dyDescent="0.35">
      <c r="A348" s="8" t="s">
        <v>2451</v>
      </c>
      <c r="B348" s="8" t="s">
        <v>2451</v>
      </c>
      <c r="C348" s="8"/>
      <c r="D348" s="8" t="s">
        <v>1366</v>
      </c>
      <c r="E348" s="8" t="s">
        <v>2451</v>
      </c>
      <c r="F348" s="8" t="s">
        <v>2451</v>
      </c>
      <c r="G348" s="8" t="s">
        <v>2451</v>
      </c>
    </row>
    <row r="349" spans="1:7" outlineLevel="2" x14ac:dyDescent="0.35">
      <c r="A349" s="8" t="s">
        <v>2451</v>
      </c>
      <c r="B349" s="8" t="s">
        <v>2451</v>
      </c>
      <c r="C349" s="8"/>
      <c r="D349" s="8" t="s">
        <v>1367</v>
      </c>
      <c r="E349" s="8" t="s">
        <v>2451</v>
      </c>
      <c r="F349" s="8" t="s">
        <v>2451</v>
      </c>
      <c r="G349" s="8" t="s">
        <v>2451</v>
      </c>
    </row>
    <row r="350" spans="1:7" outlineLevel="2" x14ac:dyDescent="0.35">
      <c r="A350" s="8" t="s">
        <v>2451</v>
      </c>
      <c r="B350" s="8" t="s">
        <v>2451</v>
      </c>
      <c r="C350" s="8"/>
      <c r="D350" s="8" t="s">
        <v>1368</v>
      </c>
      <c r="E350" s="8" t="s">
        <v>2451</v>
      </c>
      <c r="F350" s="8" t="s">
        <v>2451</v>
      </c>
      <c r="G350" s="8" t="s">
        <v>2451</v>
      </c>
    </row>
    <row r="351" spans="1:7" outlineLevel="1" x14ac:dyDescent="0.35">
      <c r="A351" s="8" t="s">
        <v>83</v>
      </c>
      <c r="B351" s="8" t="s">
        <v>284</v>
      </c>
      <c r="C351" s="8">
        <v>7</v>
      </c>
      <c r="D351" s="8" t="s">
        <v>2451</v>
      </c>
      <c r="E351" s="8" t="s">
        <v>2451</v>
      </c>
      <c r="F351" s="8" t="s">
        <v>2451</v>
      </c>
      <c r="G351" s="8" t="s">
        <v>2451</v>
      </c>
    </row>
    <row r="352" spans="1:7" outlineLevel="2" x14ac:dyDescent="0.35">
      <c r="A352" s="8" t="s">
        <v>2451</v>
      </c>
      <c r="B352" s="8" t="s">
        <v>2451</v>
      </c>
      <c r="C352" s="8"/>
      <c r="D352" s="8" t="s">
        <v>1355</v>
      </c>
      <c r="E352" s="8" t="s">
        <v>2451</v>
      </c>
      <c r="F352" s="8" t="s">
        <v>2451</v>
      </c>
      <c r="G352" s="8" t="s">
        <v>2451</v>
      </c>
    </row>
    <row r="353" spans="1:7" outlineLevel="2" x14ac:dyDescent="0.35">
      <c r="A353" s="8" t="s">
        <v>2451</v>
      </c>
      <c r="B353" s="8" t="s">
        <v>2451</v>
      </c>
      <c r="C353" s="8"/>
      <c r="D353" s="8" t="s">
        <v>1356</v>
      </c>
      <c r="E353" s="8" t="s">
        <v>2451</v>
      </c>
      <c r="F353" s="8" t="s">
        <v>2451</v>
      </c>
      <c r="G353" s="8" t="s">
        <v>2451</v>
      </c>
    </row>
    <row r="354" spans="1:7" outlineLevel="2" x14ac:dyDescent="0.35">
      <c r="A354" s="8" t="s">
        <v>2451</v>
      </c>
      <c r="B354" s="8" t="s">
        <v>2451</v>
      </c>
      <c r="C354" s="8"/>
      <c r="D354" s="8" t="s">
        <v>1357</v>
      </c>
      <c r="E354" s="8" t="s">
        <v>2451</v>
      </c>
      <c r="F354" s="8" t="s">
        <v>2451</v>
      </c>
      <c r="G354" s="8" t="s">
        <v>2451</v>
      </c>
    </row>
    <row r="355" spans="1:7" outlineLevel="2" x14ac:dyDescent="0.35">
      <c r="A355" s="8" t="s">
        <v>2451</v>
      </c>
      <c r="B355" s="8" t="s">
        <v>2451</v>
      </c>
      <c r="C355" s="8"/>
      <c r="D355" s="8" t="s">
        <v>1358</v>
      </c>
      <c r="E355" s="8" t="s">
        <v>2451</v>
      </c>
      <c r="F355" s="8" t="s">
        <v>2451</v>
      </c>
      <c r="G355" s="8" t="s">
        <v>2451</v>
      </c>
    </row>
    <row r="356" spans="1:7" outlineLevel="2" x14ac:dyDescent="0.35">
      <c r="A356" s="8" t="s">
        <v>2451</v>
      </c>
      <c r="B356" s="8" t="s">
        <v>2451</v>
      </c>
      <c r="C356" s="8"/>
      <c r="D356" s="8" t="s">
        <v>1359</v>
      </c>
      <c r="E356" s="8" t="s">
        <v>2451</v>
      </c>
      <c r="F356" s="8" t="s">
        <v>2451</v>
      </c>
      <c r="G356" s="8" t="s">
        <v>2451</v>
      </c>
    </row>
    <row r="357" spans="1:7" outlineLevel="2" x14ac:dyDescent="0.35">
      <c r="A357" s="8" t="s">
        <v>2451</v>
      </c>
      <c r="B357" s="8" t="s">
        <v>2451</v>
      </c>
      <c r="C357" s="8"/>
      <c r="D357" s="8" t="s">
        <v>1360</v>
      </c>
      <c r="E357" s="8" t="s">
        <v>2451</v>
      </c>
      <c r="F357" s="8" t="s">
        <v>2451</v>
      </c>
      <c r="G357" s="8" t="s">
        <v>2451</v>
      </c>
    </row>
    <row r="358" spans="1:7" outlineLevel="2" x14ac:dyDescent="0.35">
      <c r="A358" s="8" t="s">
        <v>2451</v>
      </c>
      <c r="B358" s="8" t="s">
        <v>2451</v>
      </c>
      <c r="C358" s="8"/>
      <c r="D358" s="8" t="s">
        <v>1361</v>
      </c>
      <c r="E358" s="8" t="s">
        <v>2451</v>
      </c>
      <c r="F358" s="8" t="s">
        <v>2451</v>
      </c>
      <c r="G358" s="8" t="s">
        <v>2451</v>
      </c>
    </row>
    <row r="359" spans="1:7" outlineLevel="1" x14ac:dyDescent="0.35">
      <c r="A359" s="8" t="s">
        <v>83</v>
      </c>
      <c r="B359" s="8" t="s">
        <v>290</v>
      </c>
      <c r="C359" s="8">
        <v>6</v>
      </c>
      <c r="D359" s="8" t="s">
        <v>2451</v>
      </c>
      <c r="E359" s="8" t="s">
        <v>2451</v>
      </c>
      <c r="F359" s="8" t="s">
        <v>2451</v>
      </c>
      <c r="G359" s="8" t="s">
        <v>2451</v>
      </c>
    </row>
    <row r="360" spans="1:7" outlineLevel="2" x14ac:dyDescent="0.35">
      <c r="A360" s="8" t="s">
        <v>2451</v>
      </c>
      <c r="B360" s="8" t="s">
        <v>2451</v>
      </c>
      <c r="C360" s="8"/>
      <c r="D360" s="8" t="s">
        <v>1349</v>
      </c>
      <c r="E360" s="8" t="s">
        <v>2451</v>
      </c>
      <c r="F360" s="8" t="s">
        <v>2451</v>
      </c>
      <c r="G360" s="8" t="s">
        <v>2451</v>
      </c>
    </row>
    <row r="361" spans="1:7" outlineLevel="2" x14ac:dyDescent="0.35">
      <c r="A361" s="8" t="s">
        <v>2451</v>
      </c>
      <c r="B361" s="8" t="s">
        <v>2451</v>
      </c>
      <c r="C361" s="8"/>
      <c r="D361" s="8" t="s">
        <v>1350</v>
      </c>
      <c r="E361" s="8" t="s">
        <v>2451</v>
      </c>
      <c r="F361" s="8" t="s">
        <v>2451</v>
      </c>
      <c r="G361" s="8" t="s">
        <v>2451</v>
      </c>
    </row>
    <row r="362" spans="1:7" outlineLevel="2" x14ac:dyDescent="0.35">
      <c r="A362" s="8" t="s">
        <v>2451</v>
      </c>
      <c r="B362" s="8" t="s">
        <v>2451</v>
      </c>
      <c r="C362" s="8"/>
      <c r="D362" s="8" t="s">
        <v>1351</v>
      </c>
      <c r="E362" s="8" t="s">
        <v>2451</v>
      </c>
      <c r="F362" s="8" t="s">
        <v>2451</v>
      </c>
      <c r="G362" s="8" t="s">
        <v>2451</v>
      </c>
    </row>
    <row r="363" spans="1:7" outlineLevel="2" x14ac:dyDescent="0.35">
      <c r="A363" s="8" t="s">
        <v>2451</v>
      </c>
      <c r="B363" s="8" t="s">
        <v>2451</v>
      </c>
      <c r="C363" s="8"/>
      <c r="D363" s="8" t="s">
        <v>1352</v>
      </c>
      <c r="E363" s="8" t="s">
        <v>2451</v>
      </c>
      <c r="F363" s="8" t="s">
        <v>2451</v>
      </c>
      <c r="G363" s="8" t="s">
        <v>2451</v>
      </c>
    </row>
    <row r="364" spans="1:7" outlineLevel="2" x14ac:dyDescent="0.35">
      <c r="A364" s="8" t="s">
        <v>2451</v>
      </c>
      <c r="B364" s="8" t="s">
        <v>2451</v>
      </c>
      <c r="C364" s="8"/>
      <c r="D364" s="8" t="s">
        <v>1353</v>
      </c>
      <c r="E364" s="8" t="s">
        <v>2451</v>
      </c>
      <c r="F364" s="8" t="s">
        <v>2451</v>
      </c>
      <c r="G364" s="8" t="s">
        <v>2451</v>
      </c>
    </row>
    <row r="365" spans="1:7" outlineLevel="2" x14ac:dyDescent="0.35">
      <c r="A365" s="8" t="s">
        <v>2451</v>
      </c>
      <c r="B365" s="8" t="s">
        <v>2451</v>
      </c>
      <c r="C365" s="8"/>
      <c r="D365" s="8" t="s">
        <v>1354</v>
      </c>
      <c r="E365" s="8" t="s">
        <v>2451</v>
      </c>
      <c r="F365" s="8" t="s">
        <v>2451</v>
      </c>
      <c r="G365" s="8" t="s">
        <v>2451</v>
      </c>
    </row>
    <row r="366" spans="1:7" outlineLevel="1" x14ac:dyDescent="0.35">
      <c r="A366" s="8" t="s">
        <v>83</v>
      </c>
      <c r="B366" s="8" t="s">
        <v>294</v>
      </c>
      <c r="C366" s="8">
        <v>12</v>
      </c>
      <c r="D366" s="8" t="s">
        <v>2451</v>
      </c>
      <c r="E366" s="8" t="s">
        <v>2451</v>
      </c>
      <c r="F366" s="8" t="s">
        <v>2451</v>
      </c>
      <c r="G366" s="8" t="s">
        <v>2451</v>
      </c>
    </row>
    <row r="367" spans="1:7" outlineLevel="2" x14ac:dyDescent="0.35">
      <c r="A367" s="8" t="s">
        <v>2451</v>
      </c>
      <c r="B367" s="8" t="s">
        <v>2451</v>
      </c>
      <c r="C367" s="8"/>
      <c r="D367" s="8" t="s">
        <v>1337</v>
      </c>
      <c r="E367" s="8" t="s">
        <v>2449</v>
      </c>
      <c r="F367" s="8" t="s">
        <v>2465</v>
      </c>
      <c r="G367" s="8" t="s">
        <v>2451</v>
      </c>
    </row>
    <row r="368" spans="1:7" outlineLevel="2" x14ac:dyDescent="0.35">
      <c r="A368" s="8" t="s">
        <v>2451</v>
      </c>
      <c r="B368" s="8" t="s">
        <v>2451</v>
      </c>
      <c r="C368" s="8"/>
      <c r="D368" s="8" t="s">
        <v>1338</v>
      </c>
      <c r="E368" t="s">
        <v>2451</v>
      </c>
      <c r="F368" s="8" t="s">
        <v>2451</v>
      </c>
      <c r="G368" s="8" t="s">
        <v>2451</v>
      </c>
    </row>
    <row r="369" spans="1:7" outlineLevel="2" x14ac:dyDescent="0.35">
      <c r="A369" s="8" t="s">
        <v>2451</v>
      </c>
      <c r="B369" s="8" t="s">
        <v>2451</v>
      </c>
      <c r="C369" s="8"/>
      <c r="D369" s="8" t="s">
        <v>1339</v>
      </c>
      <c r="E369" s="8" t="s">
        <v>2451</v>
      </c>
      <c r="F369" s="8" t="s">
        <v>2451</v>
      </c>
      <c r="G369" s="8" t="s">
        <v>2451</v>
      </c>
    </row>
    <row r="370" spans="1:7" outlineLevel="2" x14ac:dyDescent="0.35">
      <c r="A370" s="8" t="s">
        <v>2451</v>
      </c>
      <c r="B370" s="8" t="s">
        <v>2451</v>
      </c>
      <c r="C370" s="8"/>
      <c r="D370" s="8" t="s">
        <v>1340</v>
      </c>
      <c r="E370" s="8" t="s">
        <v>2451</v>
      </c>
      <c r="F370" s="8" t="s">
        <v>2451</v>
      </c>
      <c r="G370" s="8" t="s">
        <v>2451</v>
      </c>
    </row>
    <row r="371" spans="1:7" outlineLevel="2" x14ac:dyDescent="0.35">
      <c r="A371" s="8" t="s">
        <v>2451</v>
      </c>
      <c r="B371" s="8" t="s">
        <v>2451</v>
      </c>
      <c r="C371" s="8"/>
      <c r="D371" s="8" t="s">
        <v>1341</v>
      </c>
      <c r="E371" s="8" t="s">
        <v>2451</v>
      </c>
      <c r="F371" s="8" t="s">
        <v>2451</v>
      </c>
      <c r="G371" s="8" t="s">
        <v>2451</v>
      </c>
    </row>
    <row r="372" spans="1:7" outlineLevel="2" x14ac:dyDescent="0.35">
      <c r="A372" s="8" t="s">
        <v>2451</v>
      </c>
      <c r="B372" s="8" t="s">
        <v>2451</v>
      </c>
      <c r="C372" s="8"/>
      <c r="D372" s="8" t="s">
        <v>1342</v>
      </c>
      <c r="E372" s="8" t="s">
        <v>2451</v>
      </c>
      <c r="F372" s="8" t="s">
        <v>2451</v>
      </c>
      <c r="G372" s="8" t="s">
        <v>2451</v>
      </c>
    </row>
    <row r="373" spans="1:7" outlineLevel="2" x14ac:dyDescent="0.35">
      <c r="A373" s="8" t="s">
        <v>2451</v>
      </c>
      <c r="B373" s="8" t="s">
        <v>2451</v>
      </c>
      <c r="C373" s="8"/>
      <c r="D373" s="8" t="s">
        <v>1343</v>
      </c>
      <c r="E373" s="8" t="s">
        <v>2451</v>
      </c>
      <c r="F373" s="8" t="s">
        <v>2451</v>
      </c>
      <c r="G373" s="8" t="s">
        <v>2451</v>
      </c>
    </row>
    <row r="374" spans="1:7" outlineLevel="2" x14ac:dyDescent="0.35">
      <c r="A374" s="8" t="s">
        <v>2451</v>
      </c>
      <c r="B374" s="8" t="s">
        <v>2451</v>
      </c>
      <c r="C374" s="8"/>
      <c r="D374" s="8" t="s">
        <v>1344</v>
      </c>
      <c r="E374" s="8" t="s">
        <v>2451</v>
      </c>
      <c r="F374" s="8" t="s">
        <v>2451</v>
      </c>
      <c r="G374" s="8" t="s">
        <v>2451</v>
      </c>
    </row>
    <row r="375" spans="1:7" outlineLevel="2" x14ac:dyDescent="0.35">
      <c r="A375" s="8" t="s">
        <v>2451</v>
      </c>
      <c r="B375" s="8" t="s">
        <v>2451</v>
      </c>
      <c r="C375" s="8"/>
      <c r="D375" s="8" t="s">
        <v>1345</v>
      </c>
      <c r="E375" s="8" t="s">
        <v>2451</v>
      </c>
      <c r="F375" s="8" t="s">
        <v>2451</v>
      </c>
      <c r="G375" s="8" t="s">
        <v>2451</v>
      </c>
    </row>
    <row r="376" spans="1:7" outlineLevel="2" x14ac:dyDescent="0.35">
      <c r="A376" s="8" t="s">
        <v>2451</v>
      </c>
      <c r="B376" s="8" t="s">
        <v>2451</v>
      </c>
      <c r="C376" s="8"/>
      <c r="D376" s="8" t="s">
        <v>1346</v>
      </c>
      <c r="E376" s="8" t="s">
        <v>2451</v>
      </c>
      <c r="F376" s="8" t="s">
        <v>2451</v>
      </c>
      <c r="G376" s="8" t="s">
        <v>2451</v>
      </c>
    </row>
    <row r="377" spans="1:7" outlineLevel="2" x14ac:dyDescent="0.35">
      <c r="A377" s="8" t="s">
        <v>2451</v>
      </c>
      <c r="B377" s="8" t="s">
        <v>2451</v>
      </c>
      <c r="C377" s="8"/>
      <c r="D377" s="8" t="s">
        <v>1347</v>
      </c>
      <c r="E377" s="8" t="s">
        <v>2451</v>
      </c>
      <c r="F377" s="8" t="s">
        <v>2451</v>
      </c>
      <c r="G377" s="8" t="s">
        <v>2451</v>
      </c>
    </row>
    <row r="378" spans="1:7" outlineLevel="2" x14ac:dyDescent="0.35">
      <c r="A378" s="8" t="s">
        <v>2451</v>
      </c>
      <c r="B378" s="8" t="s">
        <v>2451</v>
      </c>
      <c r="C378" s="8"/>
      <c r="D378" s="8" t="s">
        <v>1348</v>
      </c>
      <c r="E378" s="8" t="s">
        <v>2451</v>
      </c>
      <c r="F378" s="8" t="s">
        <v>2451</v>
      </c>
      <c r="G378" s="8" t="s">
        <v>2451</v>
      </c>
    </row>
    <row r="379" spans="1:7" outlineLevel="1" x14ac:dyDescent="0.35">
      <c r="A379" s="8" t="s">
        <v>209</v>
      </c>
      <c r="B379" s="8" t="s">
        <v>210</v>
      </c>
      <c r="C379" s="8">
        <v>6</v>
      </c>
      <c r="D379" s="8" t="s">
        <v>2451</v>
      </c>
      <c r="E379" s="8" t="s">
        <v>2451</v>
      </c>
      <c r="F379" s="8" t="s">
        <v>2451</v>
      </c>
      <c r="G379" s="8" t="s">
        <v>2451</v>
      </c>
    </row>
    <row r="380" spans="1:7" outlineLevel="2" x14ac:dyDescent="0.35">
      <c r="A380" s="8" t="s">
        <v>2451</v>
      </c>
      <c r="B380" s="8" t="s">
        <v>2451</v>
      </c>
      <c r="C380" s="8"/>
      <c r="D380" s="8" t="s">
        <v>1041</v>
      </c>
      <c r="E380" s="8" t="s">
        <v>2451</v>
      </c>
      <c r="F380" s="8" t="s">
        <v>2451</v>
      </c>
      <c r="G380" s="8" t="s">
        <v>2451</v>
      </c>
    </row>
    <row r="381" spans="1:7" outlineLevel="2" x14ac:dyDescent="0.35">
      <c r="A381" s="8" t="s">
        <v>2451</v>
      </c>
      <c r="B381" s="8" t="s">
        <v>2451</v>
      </c>
      <c r="C381" s="8"/>
      <c r="D381" s="8" t="s">
        <v>1042</v>
      </c>
      <c r="E381" s="8" t="s">
        <v>2451</v>
      </c>
      <c r="F381" s="8" t="s">
        <v>2451</v>
      </c>
      <c r="G381" s="8" t="s">
        <v>2451</v>
      </c>
    </row>
    <row r="382" spans="1:7" outlineLevel="2" x14ac:dyDescent="0.35">
      <c r="A382" s="8" t="s">
        <v>2451</v>
      </c>
      <c r="B382" s="8" t="s">
        <v>2451</v>
      </c>
      <c r="C382" s="8"/>
      <c r="D382" s="8" t="s">
        <v>1043</v>
      </c>
      <c r="E382" s="8" t="s">
        <v>2451</v>
      </c>
      <c r="F382" s="8" t="s">
        <v>2451</v>
      </c>
      <c r="G382" s="8" t="s">
        <v>2451</v>
      </c>
    </row>
    <row r="383" spans="1:7" outlineLevel="2" x14ac:dyDescent="0.35">
      <c r="A383" s="8" t="s">
        <v>2451</v>
      </c>
      <c r="B383" s="8" t="s">
        <v>2451</v>
      </c>
      <c r="C383" s="8"/>
      <c r="D383" s="8" t="s">
        <v>1044</v>
      </c>
      <c r="E383" s="8" t="s">
        <v>2451</v>
      </c>
      <c r="F383" s="8" t="s">
        <v>2451</v>
      </c>
      <c r="G383" s="8" t="s">
        <v>2451</v>
      </c>
    </row>
    <row r="384" spans="1:7" outlineLevel="2" x14ac:dyDescent="0.35">
      <c r="A384" s="8" t="s">
        <v>2451</v>
      </c>
      <c r="B384" s="8" t="s">
        <v>2451</v>
      </c>
      <c r="C384" s="8"/>
      <c r="D384" s="8" t="s">
        <v>1045</v>
      </c>
      <c r="E384" s="8" t="s">
        <v>2451</v>
      </c>
      <c r="F384" s="8" t="s">
        <v>2451</v>
      </c>
      <c r="G384" s="8" t="s">
        <v>2451</v>
      </c>
    </row>
    <row r="385" spans="1:7" outlineLevel="2" x14ac:dyDescent="0.35">
      <c r="A385" s="8" t="s">
        <v>2451</v>
      </c>
      <c r="B385" s="8" t="s">
        <v>2451</v>
      </c>
      <c r="C385" s="8"/>
      <c r="D385" s="8" t="s">
        <v>1046</v>
      </c>
      <c r="E385" s="8" t="s">
        <v>2451</v>
      </c>
      <c r="F385" s="8" t="s">
        <v>2451</v>
      </c>
      <c r="G385" s="8" t="s">
        <v>2451</v>
      </c>
    </row>
    <row r="386" spans="1:7" outlineLevel="1" x14ac:dyDescent="0.35">
      <c r="A386" s="8" t="s">
        <v>303</v>
      </c>
      <c r="B386" s="8" t="s">
        <v>304</v>
      </c>
      <c r="C386" s="8">
        <v>4</v>
      </c>
      <c r="D386" s="8" t="s">
        <v>2451</v>
      </c>
      <c r="E386" s="8" t="s">
        <v>2451</v>
      </c>
      <c r="F386" s="8" t="s">
        <v>2451</v>
      </c>
      <c r="G386" s="8" t="s">
        <v>2451</v>
      </c>
    </row>
    <row r="387" spans="1:7" outlineLevel="2" x14ac:dyDescent="0.35">
      <c r="A387" s="8" t="s">
        <v>2451</v>
      </c>
      <c r="B387" s="8" t="s">
        <v>2451</v>
      </c>
      <c r="C387" s="8"/>
      <c r="D387" s="8" t="s">
        <v>1333</v>
      </c>
      <c r="E387" s="8" t="s">
        <v>2451</v>
      </c>
      <c r="F387" s="8" t="s">
        <v>2451</v>
      </c>
      <c r="G387" s="8" t="s">
        <v>2451</v>
      </c>
    </row>
    <row r="388" spans="1:7" outlineLevel="2" x14ac:dyDescent="0.35">
      <c r="A388" s="8" t="s">
        <v>2451</v>
      </c>
      <c r="B388" s="8" t="s">
        <v>2451</v>
      </c>
      <c r="C388" s="8"/>
      <c r="D388" s="8" t="s">
        <v>1334</v>
      </c>
      <c r="E388" s="8" t="s">
        <v>2451</v>
      </c>
      <c r="F388" s="8" t="s">
        <v>2451</v>
      </c>
      <c r="G388" s="8" t="s">
        <v>2451</v>
      </c>
    </row>
    <row r="389" spans="1:7" outlineLevel="2" x14ac:dyDescent="0.35">
      <c r="A389" s="8" t="s">
        <v>2451</v>
      </c>
      <c r="B389" s="8" t="s">
        <v>2451</v>
      </c>
      <c r="C389" s="8"/>
      <c r="D389" s="8" t="s">
        <v>1335</v>
      </c>
      <c r="E389" s="8" t="s">
        <v>2451</v>
      </c>
      <c r="F389" s="8" t="s">
        <v>2451</v>
      </c>
      <c r="G389" s="8" t="s">
        <v>2451</v>
      </c>
    </row>
    <row r="390" spans="1:7" outlineLevel="2" x14ac:dyDescent="0.35">
      <c r="A390" s="8" t="s">
        <v>2451</v>
      </c>
      <c r="B390" s="8" t="s">
        <v>2451</v>
      </c>
      <c r="C390" s="8"/>
      <c r="D390" s="8" t="s">
        <v>1336</v>
      </c>
      <c r="E390" s="8" t="s">
        <v>2451</v>
      </c>
      <c r="F390" s="8" t="s">
        <v>2451</v>
      </c>
      <c r="G390" s="8" t="s">
        <v>2451</v>
      </c>
    </row>
    <row r="391" spans="1:7" outlineLevel="1" x14ac:dyDescent="0.35">
      <c r="A391" s="8" t="s">
        <v>303</v>
      </c>
      <c r="B391" s="8" t="s">
        <v>307</v>
      </c>
      <c r="C391" s="8">
        <v>4</v>
      </c>
      <c r="D391" s="8" t="s">
        <v>2451</v>
      </c>
      <c r="E391" s="8" t="s">
        <v>2451</v>
      </c>
      <c r="F391" s="8" t="s">
        <v>2451</v>
      </c>
      <c r="G391" s="8" t="s">
        <v>2451</v>
      </c>
    </row>
    <row r="392" spans="1:7" outlineLevel="2" x14ac:dyDescent="0.35">
      <c r="A392" s="8" t="s">
        <v>2451</v>
      </c>
      <c r="B392" s="8" t="s">
        <v>2451</v>
      </c>
      <c r="C392" s="8"/>
      <c r="D392" s="8" t="s">
        <v>1329</v>
      </c>
      <c r="E392" s="8" t="s">
        <v>2451</v>
      </c>
      <c r="F392" s="8" t="s">
        <v>2451</v>
      </c>
      <c r="G392" s="8" t="s">
        <v>2451</v>
      </c>
    </row>
    <row r="393" spans="1:7" outlineLevel="2" x14ac:dyDescent="0.35">
      <c r="A393" s="8" t="s">
        <v>2451</v>
      </c>
      <c r="B393" s="8" t="s">
        <v>2451</v>
      </c>
      <c r="C393" s="8"/>
      <c r="D393" s="8" t="s">
        <v>1330</v>
      </c>
      <c r="E393" s="8" t="s">
        <v>2451</v>
      </c>
      <c r="F393" s="8" t="s">
        <v>2451</v>
      </c>
      <c r="G393" s="8" t="s">
        <v>2451</v>
      </c>
    </row>
    <row r="394" spans="1:7" outlineLevel="2" x14ac:dyDescent="0.35">
      <c r="A394" s="8" t="s">
        <v>2451</v>
      </c>
      <c r="B394" s="8" t="s">
        <v>2451</v>
      </c>
      <c r="C394" s="8"/>
      <c r="D394" s="8" t="s">
        <v>1331</v>
      </c>
      <c r="E394" s="8" t="s">
        <v>2451</v>
      </c>
      <c r="F394" s="8" t="s">
        <v>2451</v>
      </c>
      <c r="G394" s="8" t="s">
        <v>2451</v>
      </c>
    </row>
    <row r="395" spans="1:7" outlineLevel="2" x14ac:dyDescent="0.35">
      <c r="A395" s="8" t="s">
        <v>2451</v>
      </c>
      <c r="B395" s="8" t="s">
        <v>2451</v>
      </c>
      <c r="C395" s="8"/>
      <c r="D395" s="8" t="s">
        <v>1332</v>
      </c>
      <c r="E395" s="8" t="s">
        <v>2451</v>
      </c>
      <c r="F395" s="8" t="s">
        <v>2451</v>
      </c>
      <c r="G395" s="8" t="s">
        <v>2451</v>
      </c>
    </row>
    <row r="396" spans="1:7" outlineLevel="1" x14ac:dyDescent="0.35">
      <c r="A396" s="8" t="s">
        <v>310</v>
      </c>
      <c r="B396" s="8" t="s">
        <v>311</v>
      </c>
      <c r="C396" s="8">
        <v>4</v>
      </c>
      <c r="D396" s="8" t="s">
        <v>2451</v>
      </c>
      <c r="E396" s="8" t="s">
        <v>2451</v>
      </c>
      <c r="F396" s="8" t="s">
        <v>2451</v>
      </c>
      <c r="G396" s="8" t="s">
        <v>2451</v>
      </c>
    </row>
    <row r="397" spans="1:7" outlineLevel="2" x14ac:dyDescent="0.35">
      <c r="A397" s="8" t="s">
        <v>2451</v>
      </c>
      <c r="B397" s="8" t="s">
        <v>2451</v>
      </c>
      <c r="C397" s="8"/>
      <c r="D397" s="8" t="s">
        <v>1325</v>
      </c>
      <c r="E397" s="8" t="s">
        <v>2451</v>
      </c>
      <c r="F397" s="8" t="s">
        <v>2451</v>
      </c>
      <c r="G397" s="8" t="s">
        <v>2451</v>
      </c>
    </row>
    <row r="398" spans="1:7" outlineLevel="2" x14ac:dyDescent="0.35">
      <c r="A398" s="8" t="s">
        <v>2451</v>
      </c>
      <c r="B398" s="8" t="s">
        <v>2451</v>
      </c>
      <c r="C398" s="8"/>
      <c r="D398" s="8" t="s">
        <v>1326</v>
      </c>
      <c r="E398" s="8" t="s">
        <v>2451</v>
      </c>
      <c r="F398" s="8" t="s">
        <v>2451</v>
      </c>
      <c r="G398" s="8" t="s">
        <v>2451</v>
      </c>
    </row>
    <row r="399" spans="1:7" outlineLevel="2" x14ac:dyDescent="0.35">
      <c r="A399" s="8" t="s">
        <v>2451</v>
      </c>
      <c r="B399" s="8" t="s">
        <v>2451</v>
      </c>
      <c r="C399" s="8"/>
      <c r="D399" s="8" t="s">
        <v>1327</v>
      </c>
      <c r="E399" s="8" t="s">
        <v>2451</v>
      </c>
      <c r="F399" s="8" t="s">
        <v>2451</v>
      </c>
      <c r="G399" s="8" t="s">
        <v>2451</v>
      </c>
    </row>
    <row r="400" spans="1:7" outlineLevel="2" x14ac:dyDescent="0.35">
      <c r="A400" s="8" t="s">
        <v>2451</v>
      </c>
      <c r="B400" s="8" t="s">
        <v>2451</v>
      </c>
      <c r="C400" s="8"/>
      <c r="D400" s="8" t="s">
        <v>1328</v>
      </c>
      <c r="E400" s="8" t="s">
        <v>2451</v>
      </c>
      <c r="F400" s="8" t="s">
        <v>2451</v>
      </c>
      <c r="G400" s="8" t="s">
        <v>2451</v>
      </c>
    </row>
    <row r="401" spans="1:7" outlineLevel="1" x14ac:dyDescent="0.35">
      <c r="A401" s="8" t="s">
        <v>310</v>
      </c>
      <c r="B401" s="8" t="s">
        <v>314</v>
      </c>
      <c r="C401" s="8">
        <v>2</v>
      </c>
      <c r="D401" s="8" t="s">
        <v>2451</v>
      </c>
      <c r="E401" s="8" t="s">
        <v>2451</v>
      </c>
      <c r="F401" s="8" t="s">
        <v>2451</v>
      </c>
      <c r="G401" s="8" t="s">
        <v>2451</v>
      </c>
    </row>
    <row r="402" spans="1:7" outlineLevel="2" x14ac:dyDescent="0.35">
      <c r="A402" s="8" t="s">
        <v>2451</v>
      </c>
      <c r="B402" s="8" t="s">
        <v>2451</v>
      </c>
      <c r="C402" s="8"/>
      <c r="D402" s="8" t="s">
        <v>1323</v>
      </c>
      <c r="E402" s="8" t="s">
        <v>2451</v>
      </c>
      <c r="F402" s="8" t="s">
        <v>2451</v>
      </c>
      <c r="G402" s="8" t="s">
        <v>2451</v>
      </c>
    </row>
    <row r="403" spans="1:7" outlineLevel="2" x14ac:dyDescent="0.35">
      <c r="A403" s="8" t="s">
        <v>2451</v>
      </c>
      <c r="B403" s="8" t="s">
        <v>2451</v>
      </c>
      <c r="C403" s="8"/>
      <c r="D403" s="8" t="s">
        <v>1324</v>
      </c>
      <c r="E403" s="8" t="s">
        <v>2451</v>
      </c>
      <c r="F403" s="8" t="s">
        <v>2451</v>
      </c>
      <c r="G403" s="8" t="s">
        <v>2451</v>
      </c>
    </row>
    <row r="404" spans="1:7" outlineLevel="1" x14ac:dyDescent="0.35">
      <c r="A404" s="8" t="s">
        <v>310</v>
      </c>
      <c r="B404" s="8" t="s">
        <v>317</v>
      </c>
      <c r="C404" s="8">
        <v>4</v>
      </c>
      <c r="D404" s="8" t="s">
        <v>2451</v>
      </c>
      <c r="E404" s="8" t="s">
        <v>2451</v>
      </c>
      <c r="F404" s="8" t="s">
        <v>2451</v>
      </c>
      <c r="G404" s="8" t="s">
        <v>2451</v>
      </c>
    </row>
    <row r="405" spans="1:7" outlineLevel="2" x14ac:dyDescent="0.35">
      <c r="A405" s="8" t="s">
        <v>2451</v>
      </c>
      <c r="B405" s="8" t="s">
        <v>2451</v>
      </c>
      <c r="C405" s="8"/>
      <c r="D405" s="8" t="s">
        <v>1319</v>
      </c>
      <c r="E405" s="8" t="s">
        <v>2451</v>
      </c>
      <c r="F405" s="8" t="s">
        <v>2451</v>
      </c>
      <c r="G405" s="8" t="s">
        <v>2451</v>
      </c>
    </row>
    <row r="406" spans="1:7" outlineLevel="2" x14ac:dyDescent="0.35">
      <c r="A406" s="8" t="s">
        <v>2451</v>
      </c>
      <c r="B406" s="8" t="s">
        <v>2451</v>
      </c>
      <c r="C406" s="8"/>
      <c r="D406" s="8" t="s">
        <v>1320</v>
      </c>
      <c r="E406" s="8" t="s">
        <v>2451</v>
      </c>
      <c r="F406" s="8" t="s">
        <v>2451</v>
      </c>
      <c r="G406" s="8" t="s">
        <v>2451</v>
      </c>
    </row>
    <row r="407" spans="1:7" outlineLevel="2" x14ac:dyDescent="0.35">
      <c r="A407" s="8" t="s">
        <v>2451</v>
      </c>
      <c r="B407" s="8" t="s">
        <v>2451</v>
      </c>
      <c r="C407" s="8"/>
      <c r="D407" s="8" t="s">
        <v>1321</v>
      </c>
      <c r="E407" s="8" t="s">
        <v>2451</v>
      </c>
      <c r="F407" s="8" t="s">
        <v>2451</v>
      </c>
      <c r="G407" s="8" t="s">
        <v>2451</v>
      </c>
    </row>
    <row r="408" spans="1:7" outlineLevel="2" x14ac:dyDescent="0.35">
      <c r="A408" s="8" t="s">
        <v>2451</v>
      </c>
      <c r="B408" s="8" t="s">
        <v>2451</v>
      </c>
      <c r="C408" s="8"/>
      <c r="D408" s="8" t="s">
        <v>1322</v>
      </c>
      <c r="E408" s="8" t="s">
        <v>2451</v>
      </c>
      <c r="F408" s="8" t="s">
        <v>2451</v>
      </c>
      <c r="G408" s="8" t="s">
        <v>2451</v>
      </c>
    </row>
    <row r="409" spans="1:7" outlineLevel="1" x14ac:dyDescent="0.35">
      <c r="A409" s="8" t="s">
        <v>229</v>
      </c>
      <c r="B409" s="8" t="s">
        <v>320</v>
      </c>
      <c r="C409" s="8">
        <v>10</v>
      </c>
      <c r="D409" s="8" t="s">
        <v>2451</v>
      </c>
      <c r="E409" s="8" t="s">
        <v>2451</v>
      </c>
      <c r="F409" s="8" t="s">
        <v>2451</v>
      </c>
      <c r="G409" s="8" t="s">
        <v>2451</v>
      </c>
    </row>
    <row r="410" spans="1:7" outlineLevel="2" x14ac:dyDescent="0.35">
      <c r="A410" s="8" t="s">
        <v>2451</v>
      </c>
      <c r="B410" s="8" t="s">
        <v>2451</v>
      </c>
      <c r="C410" s="8"/>
      <c r="D410" s="8" t="s">
        <v>1309</v>
      </c>
      <c r="E410" s="8" t="s">
        <v>2451</v>
      </c>
      <c r="F410" s="8" t="s">
        <v>2451</v>
      </c>
      <c r="G410" s="8" t="s">
        <v>2451</v>
      </c>
    </row>
    <row r="411" spans="1:7" outlineLevel="2" x14ac:dyDescent="0.35">
      <c r="A411" s="8" t="s">
        <v>2451</v>
      </c>
      <c r="B411" s="8" t="s">
        <v>2451</v>
      </c>
      <c r="C411" s="8"/>
      <c r="D411" s="8" t="s">
        <v>1310</v>
      </c>
      <c r="E411" s="8" t="s">
        <v>2451</v>
      </c>
      <c r="F411" s="8" t="s">
        <v>2451</v>
      </c>
      <c r="G411" s="8" t="s">
        <v>2451</v>
      </c>
    </row>
    <row r="412" spans="1:7" outlineLevel="2" x14ac:dyDescent="0.35">
      <c r="A412" s="8" t="s">
        <v>2451</v>
      </c>
      <c r="B412" s="8" t="s">
        <v>2451</v>
      </c>
      <c r="C412" s="8"/>
      <c r="D412" s="8" t="s">
        <v>1311</v>
      </c>
      <c r="E412" s="8" t="s">
        <v>2451</v>
      </c>
      <c r="F412" s="8" t="s">
        <v>2451</v>
      </c>
      <c r="G412" s="8" t="s">
        <v>2451</v>
      </c>
    </row>
    <row r="413" spans="1:7" outlineLevel="2" x14ac:dyDescent="0.35">
      <c r="A413" s="8" t="s">
        <v>2451</v>
      </c>
      <c r="B413" s="8" t="s">
        <v>2451</v>
      </c>
      <c r="C413" s="8"/>
      <c r="D413" s="8" t="s">
        <v>1312</v>
      </c>
      <c r="E413" s="8" t="s">
        <v>2451</v>
      </c>
      <c r="F413" s="8" t="s">
        <v>2451</v>
      </c>
      <c r="G413" s="8" t="s">
        <v>2451</v>
      </c>
    </row>
    <row r="414" spans="1:7" outlineLevel="2" x14ac:dyDescent="0.35">
      <c r="A414" s="8" t="s">
        <v>2451</v>
      </c>
      <c r="B414" s="8" t="s">
        <v>2451</v>
      </c>
      <c r="C414" s="8"/>
      <c r="D414" s="8" t="s">
        <v>1313</v>
      </c>
      <c r="E414" s="8" t="s">
        <v>2451</v>
      </c>
      <c r="F414" s="8" t="s">
        <v>2451</v>
      </c>
      <c r="G414" s="8" t="s">
        <v>2451</v>
      </c>
    </row>
    <row r="415" spans="1:7" outlineLevel="2" x14ac:dyDescent="0.35">
      <c r="A415" s="8" t="s">
        <v>2451</v>
      </c>
      <c r="B415" s="8" t="s">
        <v>2451</v>
      </c>
      <c r="C415" s="8"/>
      <c r="D415" s="8" t="s">
        <v>1314</v>
      </c>
      <c r="E415" s="8" t="s">
        <v>2451</v>
      </c>
      <c r="F415" s="8" t="s">
        <v>2451</v>
      </c>
      <c r="G415" s="8" t="s">
        <v>2451</v>
      </c>
    </row>
    <row r="416" spans="1:7" outlineLevel="2" x14ac:dyDescent="0.35">
      <c r="A416" s="8" t="s">
        <v>2451</v>
      </c>
      <c r="B416" s="8" t="s">
        <v>2451</v>
      </c>
      <c r="C416" s="8"/>
      <c r="D416" s="8" t="s">
        <v>1315</v>
      </c>
      <c r="E416" s="8" t="s">
        <v>2451</v>
      </c>
      <c r="F416" s="8" t="s">
        <v>2451</v>
      </c>
      <c r="G416" s="8" t="s">
        <v>2451</v>
      </c>
    </row>
    <row r="417" spans="1:7" outlineLevel="2" x14ac:dyDescent="0.35">
      <c r="A417" s="8" t="s">
        <v>2451</v>
      </c>
      <c r="B417" s="8" t="s">
        <v>2451</v>
      </c>
      <c r="C417" s="8"/>
      <c r="D417" s="8" t="s">
        <v>1316</v>
      </c>
      <c r="E417" s="8" t="s">
        <v>2451</v>
      </c>
      <c r="F417" s="8" t="s">
        <v>2451</v>
      </c>
      <c r="G417" s="8" t="s">
        <v>2451</v>
      </c>
    </row>
    <row r="418" spans="1:7" outlineLevel="2" x14ac:dyDescent="0.35">
      <c r="A418" s="8" t="s">
        <v>2451</v>
      </c>
      <c r="B418" s="8" t="s">
        <v>2451</v>
      </c>
      <c r="C418" s="8"/>
      <c r="D418" s="8" t="s">
        <v>1317</v>
      </c>
      <c r="E418" s="8" t="s">
        <v>2451</v>
      </c>
      <c r="F418" s="8" t="s">
        <v>2451</v>
      </c>
      <c r="G418" s="8" t="s">
        <v>2451</v>
      </c>
    </row>
    <row r="419" spans="1:7" outlineLevel="2" x14ac:dyDescent="0.35">
      <c r="A419" s="8" t="s">
        <v>2451</v>
      </c>
      <c r="B419" s="8" t="s">
        <v>2451</v>
      </c>
      <c r="C419" s="8"/>
      <c r="D419" s="8" t="s">
        <v>1318</v>
      </c>
      <c r="E419" s="8" t="s">
        <v>2451</v>
      </c>
      <c r="F419" s="8" t="s">
        <v>2451</v>
      </c>
      <c r="G419" s="8" t="s">
        <v>2451</v>
      </c>
    </row>
    <row r="420" spans="1:7" outlineLevel="1" x14ac:dyDescent="0.35">
      <c r="A420" s="8" t="s">
        <v>323</v>
      </c>
      <c r="B420" s="8" t="s">
        <v>324</v>
      </c>
      <c r="C420" s="8">
        <v>2</v>
      </c>
      <c r="D420" s="8" t="s">
        <v>2451</v>
      </c>
      <c r="E420" s="8" t="s">
        <v>2451</v>
      </c>
      <c r="F420" s="8" t="s">
        <v>2451</v>
      </c>
      <c r="G420" s="8" t="s">
        <v>2451</v>
      </c>
    </row>
    <row r="421" spans="1:7" outlineLevel="2" x14ac:dyDescent="0.35">
      <c r="A421" s="8" t="s">
        <v>2451</v>
      </c>
      <c r="B421" s="8" t="s">
        <v>2451</v>
      </c>
      <c r="C421" s="8"/>
      <c r="D421" s="8" t="s">
        <v>1307</v>
      </c>
      <c r="E421" s="8" t="s">
        <v>2451</v>
      </c>
      <c r="F421" s="8" t="s">
        <v>2451</v>
      </c>
      <c r="G421" s="8" t="s">
        <v>2451</v>
      </c>
    </row>
    <row r="422" spans="1:7" outlineLevel="2" x14ac:dyDescent="0.35">
      <c r="A422" s="8" t="s">
        <v>2451</v>
      </c>
      <c r="B422" s="8" t="s">
        <v>2451</v>
      </c>
      <c r="C422" s="8"/>
      <c r="D422" s="8" t="s">
        <v>1308</v>
      </c>
      <c r="E422" s="8" t="s">
        <v>2451</v>
      </c>
      <c r="F422" s="8" t="s">
        <v>2451</v>
      </c>
      <c r="G422" s="8" t="s">
        <v>2451</v>
      </c>
    </row>
    <row r="423" spans="1:7" outlineLevel="1" x14ac:dyDescent="0.35">
      <c r="A423" s="8" t="s">
        <v>327</v>
      </c>
      <c r="B423" s="8" t="s">
        <v>328</v>
      </c>
      <c r="C423" s="8">
        <v>6</v>
      </c>
      <c r="D423" s="8" t="s">
        <v>2451</v>
      </c>
      <c r="E423" s="8" t="s">
        <v>2451</v>
      </c>
      <c r="F423" s="8" t="s">
        <v>2451</v>
      </c>
      <c r="G423" s="8" t="s">
        <v>2451</v>
      </c>
    </row>
    <row r="424" spans="1:7" outlineLevel="2" x14ac:dyDescent="0.35">
      <c r="A424" s="8" t="s">
        <v>2451</v>
      </c>
      <c r="B424" s="8" t="s">
        <v>2451</v>
      </c>
      <c r="C424" s="8"/>
      <c r="D424" s="8" t="s">
        <v>1301</v>
      </c>
      <c r="E424" s="8" t="s">
        <v>2451</v>
      </c>
      <c r="F424" s="8" t="s">
        <v>2451</v>
      </c>
      <c r="G424" s="8" t="s">
        <v>2451</v>
      </c>
    </row>
    <row r="425" spans="1:7" outlineLevel="2" x14ac:dyDescent="0.35">
      <c r="A425" s="8" t="s">
        <v>2451</v>
      </c>
      <c r="B425" s="8" t="s">
        <v>2451</v>
      </c>
      <c r="C425" s="8"/>
      <c r="D425" s="8" t="s">
        <v>1302</v>
      </c>
      <c r="E425" s="8" t="s">
        <v>2451</v>
      </c>
      <c r="F425" s="8" t="s">
        <v>2451</v>
      </c>
      <c r="G425" s="8" t="s">
        <v>2451</v>
      </c>
    </row>
    <row r="426" spans="1:7" outlineLevel="2" x14ac:dyDescent="0.35">
      <c r="A426" s="8" t="s">
        <v>2451</v>
      </c>
      <c r="B426" s="8" t="s">
        <v>2451</v>
      </c>
      <c r="C426" s="8"/>
      <c r="D426" s="8" t="s">
        <v>1303</v>
      </c>
      <c r="E426" s="8" t="s">
        <v>2451</v>
      </c>
      <c r="F426" s="8" t="s">
        <v>2451</v>
      </c>
      <c r="G426" s="8" t="s">
        <v>2451</v>
      </c>
    </row>
    <row r="427" spans="1:7" outlineLevel="2" x14ac:dyDescent="0.35">
      <c r="A427" s="8" t="s">
        <v>2451</v>
      </c>
      <c r="B427" s="8" t="s">
        <v>2451</v>
      </c>
      <c r="C427" s="8"/>
      <c r="D427" s="8" t="s">
        <v>1304</v>
      </c>
      <c r="E427" s="8" t="s">
        <v>2451</v>
      </c>
      <c r="F427" s="8" t="s">
        <v>2451</v>
      </c>
      <c r="G427" s="8" t="s">
        <v>2451</v>
      </c>
    </row>
    <row r="428" spans="1:7" outlineLevel="2" x14ac:dyDescent="0.35">
      <c r="A428" s="8" t="s">
        <v>2451</v>
      </c>
      <c r="B428" s="8" t="s">
        <v>2451</v>
      </c>
      <c r="C428" s="8"/>
      <c r="D428" s="8" t="s">
        <v>1305</v>
      </c>
      <c r="E428" s="8" t="s">
        <v>2451</v>
      </c>
      <c r="F428" s="8" t="s">
        <v>2451</v>
      </c>
      <c r="G428" s="8" t="s">
        <v>2451</v>
      </c>
    </row>
    <row r="429" spans="1:7" outlineLevel="2" x14ac:dyDescent="0.35">
      <c r="A429" s="8" t="s">
        <v>2451</v>
      </c>
      <c r="B429" s="8" t="s">
        <v>2451</v>
      </c>
      <c r="C429" s="8"/>
      <c r="D429" s="8" t="s">
        <v>1306</v>
      </c>
      <c r="E429" s="8" t="s">
        <v>2451</v>
      </c>
      <c r="F429" s="8" t="s">
        <v>2451</v>
      </c>
      <c r="G429" s="8" t="s">
        <v>2451</v>
      </c>
    </row>
    <row r="430" spans="1:7" outlineLevel="1" x14ac:dyDescent="0.35">
      <c r="A430" s="8" t="s">
        <v>331</v>
      </c>
      <c r="B430" s="8" t="s">
        <v>332</v>
      </c>
      <c r="C430" s="8">
        <v>2</v>
      </c>
      <c r="D430" s="8" t="s">
        <v>2451</v>
      </c>
      <c r="E430" s="8" t="s">
        <v>2451</v>
      </c>
      <c r="F430" s="8" t="s">
        <v>2451</v>
      </c>
      <c r="G430" s="8" t="s">
        <v>2451</v>
      </c>
    </row>
    <row r="431" spans="1:7" outlineLevel="2" x14ac:dyDescent="0.35">
      <c r="A431" s="8" t="s">
        <v>2451</v>
      </c>
      <c r="B431" s="8" t="s">
        <v>2451</v>
      </c>
      <c r="C431" s="8"/>
      <c r="D431" s="8" t="s">
        <v>1299</v>
      </c>
      <c r="E431" s="8" t="s">
        <v>2451</v>
      </c>
      <c r="F431" s="8" t="s">
        <v>2451</v>
      </c>
      <c r="G431" s="8" t="s">
        <v>2451</v>
      </c>
    </row>
    <row r="432" spans="1:7" outlineLevel="2" x14ac:dyDescent="0.35">
      <c r="A432" s="8" t="s">
        <v>2451</v>
      </c>
      <c r="B432" s="8" t="s">
        <v>2451</v>
      </c>
      <c r="C432" s="8"/>
      <c r="D432" s="8" t="s">
        <v>1300</v>
      </c>
      <c r="E432" s="8" t="s">
        <v>2451</v>
      </c>
      <c r="F432" s="8" t="s">
        <v>2451</v>
      </c>
      <c r="G432" s="8" t="s">
        <v>2451</v>
      </c>
    </row>
    <row r="433" spans="1:7" outlineLevel="1" x14ac:dyDescent="0.35">
      <c r="A433" s="8" t="s">
        <v>296</v>
      </c>
      <c r="B433" s="8" t="s">
        <v>335</v>
      </c>
      <c r="C433" s="8">
        <v>8</v>
      </c>
      <c r="D433" s="8" t="s">
        <v>2451</v>
      </c>
      <c r="E433" s="8" t="s">
        <v>2451</v>
      </c>
      <c r="F433" s="8" t="s">
        <v>2451</v>
      </c>
      <c r="G433" s="8" t="s">
        <v>2451</v>
      </c>
    </row>
    <row r="434" spans="1:7" outlineLevel="2" x14ac:dyDescent="0.35">
      <c r="A434" s="8" t="s">
        <v>2451</v>
      </c>
      <c r="B434" s="8" t="s">
        <v>2451</v>
      </c>
      <c r="C434" s="8"/>
      <c r="D434" s="8" t="s">
        <v>1291</v>
      </c>
      <c r="E434" s="8" t="s">
        <v>2451</v>
      </c>
      <c r="F434" s="8" t="s">
        <v>2451</v>
      </c>
      <c r="G434" s="8" t="s">
        <v>2451</v>
      </c>
    </row>
    <row r="435" spans="1:7" outlineLevel="2" x14ac:dyDescent="0.35">
      <c r="A435" s="8" t="s">
        <v>2451</v>
      </c>
      <c r="B435" s="8" t="s">
        <v>2451</v>
      </c>
      <c r="C435" s="8"/>
      <c r="D435" s="8" t="s">
        <v>1292</v>
      </c>
      <c r="E435" s="8" t="s">
        <v>2451</v>
      </c>
      <c r="F435" s="8" t="s">
        <v>2451</v>
      </c>
      <c r="G435" s="8" t="s">
        <v>2451</v>
      </c>
    </row>
    <row r="436" spans="1:7" outlineLevel="2" x14ac:dyDescent="0.35">
      <c r="A436" s="8" t="s">
        <v>2451</v>
      </c>
      <c r="B436" s="8" t="s">
        <v>2451</v>
      </c>
      <c r="C436" s="8"/>
      <c r="D436" s="8" t="s">
        <v>1293</v>
      </c>
      <c r="E436" s="8" t="s">
        <v>2451</v>
      </c>
      <c r="F436" s="8" t="s">
        <v>2451</v>
      </c>
      <c r="G436" s="8" t="s">
        <v>2451</v>
      </c>
    </row>
    <row r="437" spans="1:7" outlineLevel="2" x14ac:dyDescent="0.35">
      <c r="A437" s="8" t="s">
        <v>2451</v>
      </c>
      <c r="B437" s="8" t="s">
        <v>2451</v>
      </c>
      <c r="C437" s="8"/>
      <c r="D437" s="8" t="s">
        <v>1294</v>
      </c>
      <c r="E437" s="8" t="s">
        <v>2451</v>
      </c>
      <c r="F437" s="8" t="s">
        <v>2451</v>
      </c>
      <c r="G437" s="8" t="s">
        <v>2451</v>
      </c>
    </row>
    <row r="438" spans="1:7" outlineLevel="2" x14ac:dyDescent="0.35">
      <c r="A438" s="8" t="s">
        <v>2451</v>
      </c>
      <c r="B438" s="8" t="s">
        <v>2451</v>
      </c>
      <c r="C438" s="8"/>
      <c r="D438" s="8" t="s">
        <v>1295</v>
      </c>
      <c r="E438" s="8" t="s">
        <v>2451</v>
      </c>
      <c r="F438" s="8" t="s">
        <v>2451</v>
      </c>
      <c r="G438" s="8" t="s">
        <v>2451</v>
      </c>
    </row>
    <row r="439" spans="1:7" outlineLevel="2" x14ac:dyDescent="0.35">
      <c r="A439" s="8" t="s">
        <v>2451</v>
      </c>
      <c r="B439" s="8" t="s">
        <v>2451</v>
      </c>
      <c r="C439" s="8"/>
      <c r="D439" s="8" t="s">
        <v>1296</v>
      </c>
      <c r="E439" s="8" t="s">
        <v>2451</v>
      </c>
      <c r="F439" s="8" t="s">
        <v>2451</v>
      </c>
      <c r="G439" s="8" t="s">
        <v>2451</v>
      </c>
    </row>
    <row r="440" spans="1:7" outlineLevel="2" x14ac:dyDescent="0.35">
      <c r="A440" s="8" t="s">
        <v>2451</v>
      </c>
      <c r="B440" s="8" t="s">
        <v>2451</v>
      </c>
      <c r="C440" s="8"/>
      <c r="D440" s="8" t="s">
        <v>1297</v>
      </c>
      <c r="E440" s="8" t="s">
        <v>2451</v>
      </c>
      <c r="F440" s="8" t="s">
        <v>2451</v>
      </c>
      <c r="G440" s="8" t="s">
        <v>2451</v>
      </c>
    </row>
    <row r="441" spans="1:7" outlineLevel="2" x14ac:dyDescent="0.35">
      <c r="A441" s="8" t="s">
        <v>2451</v>
      </c>
      <c r="B441" s="8" t="s">
        <v>2451</v>
      </c>
      <c r="C441" s="8"/>
      <c r="D441" s="8" t="s">
        <v>1298</v>
      </c>
      <c r="E441" s="8" t="s">
        <v>2451</v>
      </c>
      <c r="F441" s="8" t="s">
        <v>2451</v>
      </c>
      <c r="G441" s="8" t="s">
        <v>2451</v>
      </c>
    </row>
    <row r="442" spans="1:7" outlineLevel="1" x14ac:dyDescent="0.35">
      <c r="A442" s="8" t="s">
        <v>296</v>
      </c>
      <c r="B442" s="8" t="s">
        <v>338</v>
      </c>
      <c r="C442" s="8">
        <v>8</v>
      </c>
      <c r="D442" s="8" t="s">
        <v>2451</v>
      </c>
      <c r="E442" s="8" t="s">
        <v>2451</v>
      </c>
      <c r="F442" s="8" t="s">
        <v>2451</v>
      </c>
      <c r="G442" s="8" t="s">
        <v>2451</v>
      </c>
    </row>
    <row r="443" spans="1:7" outlineLevel="2" x14ac:dyDescent="0.35">
      <c r="A443" s="8" t="s">
        <v>2451</v>
      </c>
      <c r="B443" s="8" t="s">
        <v>2451</v>
      </c>
      <c r="C443" s="8"/>
      <c r="D443" s="8" t="s">
        <v>1283</v>
      </c>
      <c r="E443" s="8" t="s">
        <v>2451</v>
      </c>
      <c r="F443" s="8" t="s">
        <v>2451</v>
      </c>
      <c r="G443" s="8" t="s">
        <v>2451</v>
      </c>
    </row>
    <row r="444" spans="1:7" outlineLevel="2" x14ac:dyDescent="0.35">
      <c r="A444" s="8" t="s">
        <v>2451</v>
      </c>
      <c r="B444" s="8" t="s">
        <v>2451</v>
      </c>
      <c r="C444" s="8"/>
      <c r="D444" s="8" t="s">
        <v>1284</v>
      </c>
      <c r="E444" s="8" t="s">
        <v>2451</v>
      </c>
      <c r="F444" s="8" t="s">
        <v>2451</v>
      </c>
      <c r="G444" s="8" t="s">
        <v>2451</v>
      </c>
    </row>
    <row r="445" spans="1:7" outlineLevel="2" x14ac:dyDescent="0.35">
      <c r="A445" s="8" t="s">
        <v>2451</v>
      </c>
      <c r="B445" s="8" t="s">
        <v>2451</v>
      </c>
      <c r="C445" s="8"/>
      <c r="D445" s="8" t="s">
        <v>1285</v>
      </c>
      <c r="E445" s="8" t="s">
        <v>2451</v>
      </c>
      <c r="F445" s="8" t="s">
        <v>2451</v>
      </c>
      <c r="G445" s="8" t="s">
        <v>2451</v>
      </c>
    </row>
    <row r="446" spans="1:7" outlineLevel="2" x14ac:dyDescent="0.35">
      <c r="A446" s="8" t="s">
        <v>2451</v>
      </c>
      <c r="B446" s="8" t="s">
        <v>2451</v>
      </c>
      <c r="C446" s="8"/>
      <c r="D446" s="8" t="s">
        <v>1286</v>
      </c>
      <c r="E446" s="8" t="s">
        <v>2451</v>
      </c>
      <c r="F446" s="8" t="s">
        <v>2451</v>
      </c>
      <c r="G446" s="8" t="s">
        <v>2451</v>
      </c>
    </row>
    <row r="447" spans="1:7" outlineLevel="2" x14ac:dyDescent="0.35">
      <c r="A447" s="8" t="s">
        <v>2451</v>
      </c>
      <c r="B447" s="8" t="s">
        <v>2451</v>
      </c>
      <c r="C447" s="8"/>
      <c r="D447" s="8" t="s">
        <v>1287</v>
      </c>
      <c r="E447" s="8" t="s">
        <v>2451</v>
      </c>
      <c r="F447" s="8" t="s">
        <v>2451</v>
      </c>
      <c r="G447" s="8" t="s">
        <v>2451</v>
      </c>
    </row>
    <row r="448" spans="1:7" outlineLevel="2" x14ac:dyDescent="0.35">
      <c r="A448" s="8" t="s">
        <v>2451</v>
      </c>
      <c r="B448" s="8" t="s">
        <v>2451</v>
      </c>
      <c r="C448" s="8"/>
      <c r="D448" s="8" t="s">
        <v>1288</v>
      </c>
      <c r="E448" s="8" t="s">
        <v>2451</v>
      </c>
      <c r="F448" s="8" t="s">
        <v>2451</v>
      </c>
      <c r="G448" s="8" t="s">
        <v>2451</v>
      </c>
    </row>
    <row r="449" spans="1:7" outlineLevel="2" x14ac:dyDescent="0.35">
      <c r="A449" s="8" t="s">
        <v>2451</v>
      </c>
      <c r="B449" s="8" t="s">
        <v>2451</v>
      </c>
      <c r="C449" s="8"/>
      <c r="D449" s="8" t="s">
        <v>1289</v>
      </c>
      <c r="E449" s="8" t="s">
        <v>2451</v>
      </c>
      <c r="F449" s="8" t="s">
        <v>2451</v>
      </c>
      <c r="G449" s="8" t="s">
        <v>2451</v>
      </c>
    </row>
    <row r="450" spans="1:7" outlineLevel="2" x14ac:dyDescent="0.35">
      <c r="A450" s="8" t="s">
        <v>2451</v>
      </c>
      <c r="B450" s="8" t="s">
        <v>2451</v>
      </c>
      <c r="C450" s="8"/>
      <c r="D450" s="8" t="s">
        <v>1290</v>
      </c>
      <c r="E450" s="8" t="s">
        <v>2451</v>
      </c>
      <c r="F450" s="8" t="s">
        <v>2451</v>
      </c>
      <c r="G450" s="8" t="s">
        <v>2451</v>
      </c>
    </row>
    <row r="451" spans="1:7" outlineLevel="1" x14ac:dyDescent="0.35">
      <c r="A451" s="8" t="s">
        <v>296</v>
      </c>
      <c r="B451" s="8" t="s">
        <v>341</v>
      </c>
      <c r="C451" s="8">
        <v>6</v>
      </c>
      <c r="D451" s="8" t="s">
        <v>2451</v>
      </c>
      <c r="E451" s="8" t="s">
        <v>2451</v>
      </c>
      <c r="F451" s="8" t="s">
        <v>2451</v>
      </c>
      <c r="G451" s="8" t="s">
        <v>2451</v>
      </c>
    </row>
    <row r="452" spans="1:7" outlineLevel="2" x14ac:dyDescent="0.35">
      <c r="A452" s="8" t="s">
        <v>2451</v>
      </c>
      <c r="B452" s="8" t="s">
        <v>2451</v>
      </c>
      <c r="C452" s="8"/>
      <c r="D452" s="8" t="s">
        <v>1277</v>
      </c>
      <c r="E452" s="8" t="s">
        <v>2451</v>
      </c>
      <c r="F452" s="8" t="s">
        <v>2451</v>
      </c>
      <c r="G452" s="8" t="s">
        <v>2451</v>
      </c>
    </row>
    <row r="453" spans="1:7" outlineLevel="2" x14ac:dyDescent="0.35">
      <c r="A453" s="8" t="s">
        <v>2451</v>
      </c>
      <c r="B453" s="8" t="s">
        <v>2451</v>
      </c>
      <c r="C453" s="8"/>
      <c r="D453" s="8" t="s">
        <v>1278</v>
      </c>
      <c r="E453" s="8" t="s">
        <v>2451</v>
      </c>
      <c r="F453" s="8" t="s">
        <v>2451</v>
      </c>
      <c r="G453" s="8" t="s">
        <v>2451</v>
      </c>
    </row>
    <row r="454" spans="1:7" outlineLevel="2" x14ac:dyDescent="0.35">
      <c r="A454" s="8" t="s">
        <v>2451</v>
      </c>
      <c r="B454" s="8" t="s">
        <v>2451</v>
      </c>
      <c r="C454" s="8"/>
      <c r="D454" s="8" t="s">
        <v>1279</v>
      </c>
      <c r="E454" s="8" t="s">
        <v>2451</v>
      </c>
      <c r="F454" s="8" t="s">
        <v>2451</v>
      </c>
      <c r="G454" s="8" t="s">
        <v>2451</v>
      </c>
    </row>
    <row r="455" spans="1:7" outlineLevel="2" x14ac:dyDescent="0.35">
      <c r="A455" s="8" t="s">
        <v>2451</v>
      </c>
      <c r="B455" s="8" t="s">
        <v>2451</v>
      </c>
      <c r="C455" s="8"/>
      <c r="D455" s="8" t="s">
        <v>1280</v>
      </c>
      <c r="E455" s="8" t="s">
        <v>2451</v>
      </c>
      <c r="F455" s="8" t="s">
        <v>2451</v>
      </c>
      <c r="G455" s="8" t="s">
        <v>2451</v>
      </c>
    </row>
    <row r="456" spans="1:7" outlineLevel="2" x14ac:dyDescent="0.35">
      <c r="A456" s="8" t="s">
        <v>2451</v>
      </c>
      <c r="B456" s="8" t="s">
        <v>2451</v>
      </c>
      <c r="C456" s="8"/>
      <c r="D456" s="8" t="s">
        <v>1281</v>
      </c>
      <c r="E456" s="8" t="s">
        <v>2451</v>
      </c>
      <c r="F456" s="8" t="s">
        <v>2451</v>
      </c>
      <c r="G456" s="8" t="s">
        <v>2451</v>
      </c>
    </row>
    <row r="457" spans="1:7" outlineLevel="2" x14ac:dyDescent="0.35">
      <c r="A457" s="8" t="s">
        <v>2451</v>
      </c>
      <c r="B457" s="8" t="s">
        <v>2451</v>
      </c>
      <c r="C457" s="8"/>
      <c r="D457" s="8" t="s">
        <v>1282</v>
      </c>
      <c r="E457" s="8" t="s">
        <v>2451</v>
      </c>
      <c r="F457" s="8" t="s">
        <v>2451</v>
      </c>
      <c r="G457" s="8" t="s">
        <v>2451</v>
      </c>
    </row>
    <row r="458" spans="1:7" outlineLevel="1" x14ac:dyDescent="0.35">
      <c r="A458" s="8" t="s">
        <v>343</v>
      </c>
      <c r="B458" s="8" t="s">
        <v>344</v>
      </c>
      <c r="C458" s="8">
        <v>8</v>
      </c>
      <c r="D458" s="8" t="s">
        <v>2451</v>
      </c>
      <c r="E458" s="8" t="s">
        <v>2451</v>
      </c>
      <c r="F458" s="8" t="s">
        <v>2451</v>
      </c>
      <c r="G458" s="8" t="s">
        <v>2451</v>
      </c>
    </row>
    <row r="459" spans="1:7" outlineLevel="2" x14ac:dyDescent="0.35">
      <c r="A459" s="8" t="s">
        <v>2451</v>
      </c>
      <c r="B459" s="8" t="s">
        <v>2451</v>
      </c>
      <c r="C459" s="8"/>
      <c r="D459" s="8" t="s">
        <v>1269</v>
      </c>
      <c r="E459" s="8" t="s">
        <v>2451</v>
      </c>
      <c r="F459" s="8" t="s">
        <v>2451</v>
      </c>
      <c r="G459" s="8" t="s">
        <v>2451</v>
      </c>
    </row>
    <row r="460" spans="1:7" outlineLevel="2" x14ac:dyDescent="0.35">
      <c r="A460" s="8" t="s">
        <v>2451</v>
      </c>
      <c r="B460" s="8" t="s">
        <v>2451</v>
      </c>
      <c r="C460" s="8"/>
      <c r="D460" s="8" t="s">
        <v>1270</v>
      </c>
      <c r="E460" s="8" t="s">
        <v>2451</v>
      </c>
      <c r="F460" s="8" t="s">
        <v>2451</v>
      </c>
      <c r="G460" s="8" t="s">
        <v>2451</v>
      </c>
    </row>
    <row r="461" spans="1:7" outlineLevel="2" x14ac:dyDescent="0.35">
      <c r="A461" s="8" t="s">
        <v>2451</v>
      </c>
      <c r="B461" s="8" t="s">
        <v>2451</v>
      </c>
      <c r="C461" s="8"/>
      <c r="D461" s="8" t="s">
        <v>1271</v>
      </c>
      <c r="E461" s="8" t="s">
        <v>2451</v>
      </c>
      <c r="F461" s="8" t="s">
        <v>2451</v>
      </c>
      <c r="G461" s="8" t="s">
        <v>2451</v>
      </c>
    </row>
    <row r="462" spans="1:7" outlineLevel="2" x14ac:dyDescent="0.35">
      <c r="A462" s="8" t="s">
        <v>2451</v>
      </c>
      <c r="B462" s="8" t="s">
        <v>2451</v>
      </c>
      <c r="C462" s="8"/>
      <c r="D462" s="8" t="s">
        <v>1272</v>
      </c>
      <c r="E462" s="8" t="s">
        <v>2451</v>
      </c>
      <c r="F462" s="8" t="s">
        <v>2451</v>
      </c>
      <c r="G462" s="8" t="s">
        <v>2451</v>
      </c>
    </row>
    <row r="463" spans="1:7" outlineLevel="2" x14ac:dyDescent="0.35">
      <c r="A463" s="8" t="s">
        <v>2451</v>
      </c>
      <c r="B463" s="8" t="s">
        <v>2451</v>
      </c>
      <c r="C463" s="8"/>
      <c r="D463" s="8" t="s">
        <v>1273</v>
      </c>
      <c r="E463" s="8" t="s">
        <v>2451</v>
      </c>
      <c r="F463" s="8" t="s">
        <v>2451</v>
      </c>
      <c r="G463" s="8" t="s">
        <v>2451</v>
      </c>
    </row>
    <row r="464" spans="1:7" outlineLevel="2" x14ac:dyDescent="0.35">
      <c r="A464" s="8" t="s">
        <v>2451</v>
      </c>
      <c r="B464" s="8" t="s">
        <v>2451</v>
      </c>
      <c r="C464" s="8"/>
      <c r="D464" s="8" t="s">
        <v>1274</v>
      </c>
      <c r="E464" s="8" t="s">
        <v>2451</v>
      </c>
      <c r="F464" s="8" t="s">
        <v>2451</v>
      </c>
      <c r="G464" s="8" t="s">
        <v>2451</v>
      </c>
    </row>
    <row r="465" spans="1:7" outlineLevel="2" x14ac:dyDescent="0.35">
      <c r="A465" s="8" t="s">
        <v>2451</v>
      </c>
      <c r="B465" s="8" t="s">
        <v>2451</v>
      </c>
      <c r="C465" s="8"/>
      <c r="D465" s="8" t="s">
        <v>1275</v>
      </c>
      <c r="E465" s="8" t="s">
        <v>2451</v>
      </c>
      <c r="F465" s="8" t="s">
        <v>2451</v>
      </c>
      <c r="G465" s="8" t="s">
        <v>2451</v>
      </c>
    </row>
    <row r="466" spans="1:7" outlineLevel="2" x14ac:dyDescent="0.35">
      <c r="A466" s="8" t="s">
        <v>2451</v>
      </c>
      <c r="B466" s="8" t="s">
        <v>2451</v>
      </c>
      <c r="C466" s="8"/>
      <c r="D466" s="8" t="s">
        <v>1276</v>
      </c>
      <c r="E466" s="8" t="s">
        <v>2451</v>
      </c>
      <c r="F466" s="8" t="s">
        <v>2451</v>
      </c>
      <c r="G466" s="8" t="s">
        <v>2451</v>
      </c>
    </row>
    <row r="467" spans="1:7" outlineLevel="1" x14ac:dyDescent="0.35">
      <c r="A467" s="8" t="s">
        <v>343</v>
      </c>
      <c r="B467" s="8" t="s">
        <v>348</v>
      </c>
      <c r="C467" s="8">
        <v>8</v>
      </c>
      <c r="D467" s="8" t="s">
        <v>2451</v>
      </c>
      <c r="E467" s="8" t="s">
        <v>2451</v>
      </c>
      <c r="F467" s="8" t="s">
        <v>2451</v>
      </c>
      <c r="G467" s="8" t="s">
        <v>2451</v>
      </c>
    </row>
    <row r="468" spans="1:7" outlineLevel="2" x14ac:dyDescent="0.35">
      <c r="A468" s="8" t="s">
        <v>2451</v>
      </c>
      <c r="B468" s="8" t="s">
        <v>2451</v>
      </c>
      <c r="C468" s="8"/>
      <c r="D468" s="8" t="s">
        <v>1261</v>
      </c>
      <c r="E468" s="8" t="s">
        <v>2451</v>
      </c>
      <c r="F468" s="8" t="s">
        <v>2451</v>
      </c>
      <c r="G468" s="8" t="s">
        <v>2451</v>
      </c>
    </row>
    <row r="469" spans="1:7" outlineLevel="2" x14ac:dyDescent="0.35">
      <c r="A469" s="8" t="s">
        <v>2451</v>
      </c>
      <c r="B469" s="8" t="s">
        <v>2451</v>
      </c>
      <c r="C469" s="8"/>
      <c r="D469" s="8" t="s">
        <v>1262</v>
      </c>
      <c r="E469" s="8" t="s">
        <v>2451</v>
      </c>
      <c r="F469" s="8" t="s">
        <v>2451</v>
      </c>
      <c r="G469" s="8" t="s">
        <v>2451</v>
      </c>
    </row>
    <row r="470" spans="1:7" outlineLevel="2" x14ac:dyDescent="0.35">
      <c r="A470" s="8" t="s">
        <v>2451</v>
      </c>
      <c r="B470" s="8" t="s">
        <v>2451</v>
      </c>
      <c r="C470" s="8"/>
      <c r="D470" s="8" t="s">
        <v>1263</v>
      </c>
      <c r="E470" s="8" t="s">
        <v>2451</v>
      </c>
      <c r="F470" s="8" t="s">
        <v>2451</v>
      </c>
      <c r="G470" s="8" t="s">
        <v>2451</v>
      </c>
    </row>
    <row r="471" spans="1:7" outlineLevel="2" x14ac:dyDescent="0.35">
      <c r="A471" s="8" t="s">
        <v>2451</v>
      </c>
      <c r="B471" s="8" t="s">
        <v>2451</v>
      </c>
      <c r="C471" s="8"/>
      <c r="D471" s="8" t="s">
        <v>1264</v>
      </c>
      <c r="E471" s="8" t="s">
        <v>2451</v>
      </c>
      <c r="F471" s="8" t="s">
        <v>2451</v>
      </c>
      <c r="G471" s="8" t="s">
        <v>2451</v>
      </c>
    </row>
    <row r="472" spans="1:7" outlineLevel="2" x14ac:dyDescent="0.35">
      <c r="A472" s="8" t="s">
        <v>2451</v>
      </c>
      <c r="B472" s="8" t="s">
        <v>2451</v>
      </c>
      <c r="C472" s="8"/>
      <c r="D472" s="8" t="s">
        <v>1265</v>
      </c>
      <c r="E472" s="8" t="s">
        <v>2451</v>
      </c>
      <c r="F472" s="8" t="s">
        <v>2451</v>
      </c>
      <c r="G472" s="8" t="s">
        <v>2451</v>
      </c>
    </row>
    <row r="473" spans="1:7" outlineLevel="2" x14ac:dyDescent="0.35">
      <c r="A473" s="8" t="s">
        <v>2451</v>
      </c>
      <c r="B473" s="8" t="s">
        <v>2451</v>
      </c>
      <c r="C473" s="8"/>
      <c r="D473" s="8" t="s">
        <v>1266</v>
      </c>
      <c r="E473" s="8" t="s">
        <v>2451</v>
      </c>
      <c r="F473" s="8" t="s">
        <v>2451</v>
      </c>
      <c r="G473" s="8" t="s">
        <v>2451</v>
      </c>
    </row>
    <row r="474" spans="1:7" outlineLevel="2" x14ac:dyDescent="0.35">
      <c r="A474" s="8" t="s">
        <v>2451</v>
      </c>
      <c r="B474" s="8" t="s">
        <v>2451</v>
      </c>
      <c r="C474" s="8"/>
      <c r="D474" s="8" t="s">
        <v>1267</v>
      </c>
      <c r="E474" s="8" t="s">
        <v>2451</v>
      </c>
      <c r="F474" s="8" t="s">
        <v>2451</v>
      </c>
      <c r="G474" s="8" t="s">
        <v>2451</v>
      </c>
    </row>
    <row r="475" spans="1:7" outlineLevel="2" x14ac:dyDescent="0.35">
      <c r="A475" s="8" t="s">
        <v>2451</v>
      </c>
      <c r="B475" s="8" t="s">
        <v>2451</v>
      </c>
      <c r="C475" s="8"/>
      <c r="D475" s="8" t="s">
        <v>1268</v>
      </c>
      <c r="E475" s="8" t="s">
        <v>2451</v>
      </c>
      <c r="F475" s="8" t="s">
        <v>2451</v>
      </c>
      <c r="G475" s="8" t="s">
        <v>2451</v>
      </c>
    </row>
    <row r="476" spans="1:7" outlineLevel="1" x14ac:dyDescent="0.35">
      <c r="A476" s="8" t="s">
        <v>343</v>
      </c>
      <c r="B476" s="8" t="s">
        <v>351</v>
      </c>
      <c r="C476" s="8">
        <v>4</v>
      </c>
      <c r="D476" s="8" t="s">
        <v>2451</v>
      </c>
      <c r="E476" s="8" t="s">
        <v>2451</v>
      </c>
      <c r="F476" s="8" t="s">
        <v>2451</v>
      </c>
      <c r="G476" s="8" t="s">
        <v>2451</v>
      </c>
    </row>
    <row r="477" spans="1:7" outlineLevel="2" x14ac:dyDescent="0.35">
      <c r="A477" s="8" t="s">
        <v>2451</v>
      </c>
      <c r="B477" s="8" t="s">
        <v>2451</v>
      </c>
      <c r="C477" s="8"/>
      <c r="D477" s="8" t="s">
        <v>1257</v>
      </c>
      <c r="E477" s="8" t="s">
        <v>2451</v>
      </c>
      <c r="F477" s="8" t="s">
        <v>2451</v>
      </c>
      <c r="G477" s="8" t="s">
        <v>2451</v>
      </c>
    </row>
    <row r="478" spans="1:7" outlineLevel="2" x14ac:dyDescent="0.35">
      <c r="A478" s="8" t="s">
        <v>2451</v>
      </c>
      <c r="B478" s="8" t="s">
        <v>2451</v>
      </c>
      <c r="C478" s="8"/>
      <c r="D478" s="8" t="s">
        <v>1258</v>
      </c>
      <c r="E478" s="8" t="s">
        <v>2451</v>
      </c>
      <c r="F478" s="8" t="s">
        <v>2451</v>
      </c>
      <c r="G478" s="8" t="s">
        <v>2451</v>
      </c>
    </row>
    <row r="479" spans="1:7" outlineLevel="2" x14ac:dyDescent="0.35">
      <c r="A479" s="8" t="s">
        <v>2451</v>
      </c>
      <c r="B479" s="8" t="s">
        <v>2451</v>
      </c>
      <c r="C479" s="8"/>
      <c r="D479" s="8" t="s">
        <v>1259</v>
      </c>
      <c r="E479" s="8" t="s">
        <v>2451</v>
      </c>
      <c r="F479" s="8" t="s">
        <v>2451</v>
      </c>
      <c r="G479" s="8" t="s">
        <v>2451</v>
      </c>
    </row>
    <row r="480" spans="1:7" outlineLevel="2" x14ac:dyDescent="0.35">
      <c r="A480" s="8" t="s">
        <v>2451</v>
      </c>
      <c r="B480" s="8" t="s">
        <v>2451</v>
      </c>
      <c r="C480" s="8"/>
      <c r="D480" s="8" t="s">
        <v>1260</v>
      </c>
      <c r="E480" s="8" t="s">
        <v>2451</v>
      </c>
      <c r="F480" s="8" t="s">
        <v>2451</v>
      </c>
      <c r="G480" s="8" t="s">
        <v>2451</v>
      </c>
    </row>
    <row r="481" spans="1:7" outlineLevel="1" x14ac:dyDescent="0.35">
      <c r="A481" s="8" t="s">
        <v>354</v>
      </c>
      <c r="B481" s="8" t="s">
        <v>355</v>
      </c>
      <c r="C481" s="8">
        <v>6</v>
      </c>
      <c r="D481" s="8" t="s">
        <v>2451</v>
      </c>
      <c r="E481" s="8" t="s">
        <v>2451</v>
      </c>
      <c r="F481" s="8" t="s">
        <v>2451</v>
      </c>
      <c r="G481" s="8" t="s">
        <v>2451</v>
      </c>
    </row>
    <row r="482" spans="1:7" outlineLevel="2" x14ac:dyDescent="0.35">
      <c r="A482" s="8" t="s">
        <v>2451</v>
      </c>
      <c r="B482" s="8" t="s">
        <v>2451</v>
      </c>
      <c r="C482" s="8"/>
      <c r="D482" s="8" t="s">
        <v>1251</v>
      </c>
      <c r="E482" s="8" t="s">
        <v>2451</v>
      </c>
      <c r="F482" s="8" t="s">
        <v>2451</v>
      </c>
      <c r="G482" s="8" t="s">
        <v>2451</v>
      </c>
    </row>
    <row r="483" spans="1:7" outlineLevel="2" x14ac:dyDescent="0.35">
      <c r="A483" s="8" t="s">
        <v>2451</v>
      </c>
      <c r="B483" s="8" t="s">
        <v>2451</v>
      </c>
      <c r="C483" s="8"/>
      <c r="D483" s="8" t="s">
        <v>1252</v>
      </c>
      <c r="E483" s="8" t="s">
        <v>2451</v>
      </c>
      <c r="F483" s="8" t="s">
        <v>2451</v>
      </c>
      <c r="G483" s="8" t="s">
        <v>2451</v>
      </c>
    </row>
    <row r="484" spans="1:7" outlineLevel="2" x14ac:dyDescent="0.35">
      <c r="A484" s="8" t="s">
        <v>2451</v>
      </c>
      <c r="B484" s="8" t="s">
        <v>2451</v>
      </c>
      <c r="C484" s="8"/>
      <c r="D484" s="8" t="s">
        <v>1253</v>
      </c>
      <c r="E484" s="8" t="s">
        <v>2451</v>
      </c>
      <c r="F484" s="8" t="s">
        <v>2451</v>
      </c>
      <c r="G484" s="8" t="s">
        <v>2451</v>
      </c>
    </row>
    <row r="485" spans="1:7" outlineLevel="2" x14ac:dyDescent="0.35">
      <c r="A485" s="8" t="s">
        <v>2451</v>
      </c>
      <c r="B485" s="8" t="s">
        <v>2451</v>
      </c>
      <c r="C485" s="8"/>
      <c r="D485" s="8" t="s">
        <v>1254</v>
      </c>
      <c r="E485" s="8" t="s">
        <v>2451</v>
      </c>
      <c r="F485" s="8" t="s">
        <v>2451</v>
      </c>
      <c r="G485" s="8" t="s">
        <v>2451</v>
      </c>
    </row>
    <row r="486" spans="1:7" outlineLevel="2" x14ac:dyDescent="0.35">
      <c r="A486" s="8" t="s">
        <v>2451</v>
      </c>
      <c r="B486" s="8" t="s">
        <v>2451</v>
      </c>
      <c r="C486" s="8"/>
      <c r="D486" s="8" t="s">
        <v>1255</v>
      </c>
      <c r="E486" s="8" t="s">
        <v>2451</v>
      </c>
      <c r="F486" s="8" t="s">
        <v>2451</v>
      </c>
      <c r="G486" s="8" t="s">
        <v>2451</v>
      </c>
    </row>
    <row r="487" spans="1:7" outlineLevel="2" x14ac:dyDescent="0.35">
      <c r="A487" s="8" t="s">
        <v>2451</v>
      </c>
      <c r="B487" s="8" t="s">
        <v>2451</v>
      </c>
      <c r="C487" s="8"/>
      <c r="D487" s="8" t="s">
        <v>1256</v>
      </c>
      <c r="E487" s="8" t="s">
        <v>2451</v>
      </c>
      <c r="F487" s="8" t="s">
        <v>2451</v>
      </c>
      <c r="G487" s="8" t="s">
        <v>2451</v>
      </c>
    </row>
    <row r="488" spans="1:7" outlineLevel="1" x14ac:dyDescent="0.35">
      <c r="A488" s="8" t="s">
        <v>354</v>
      </c>
      <c r="B488" s="8" t="s">
        <v>358</v>
      </c>
      <c r="C488" s="8">
        <v>12</v>
      </c>
      <c r="D488" s="8" t="s">
        <v>2451</v>
      </c>
      <c r="E488" s="8" t="s">
        <v>2451</v>
      </c>
      <c r="F488" s="8" t="s">
        <v>2451</v>
      </c>
      <c r="G488" s="8" t="s">
        <v>2451</v>
      </c>
    </row>
    <row r="489" spans="1:7" outlineLevel="2" x14ac:dyDescent="0.35">
      <c r="A489" s="8" t="s">
        <v>2451</v>
      </c>
      <c r="B489" s="8" t="s">
        <v>2451</v>
      </c>
      <c r="C489" s="8"/>
      <c r="D489" s="8" t="s">
        <v>1239</v>
      </c>
      <c r="E489" s="8" t="s">
        <v>2451</v>
      </c>
      <c r="F489" s="8" t="s">
        <v>2451</v>
      </c>
      <c r="G489" s="8" t="s">
        <v>2451</v>
      </c>
    </row>
    <row r="490" spans="1:7" outlineLevel="2" x14ac:dyDescent="0.35">
      <c r="A490" s="8" t="s">
        <v>2451</v>
      </c>
      <c r="B490" s="8" t="s">
        <v>2451</v>
      </c>
      <c r="C490" s="8"/>
      <c r="D490" s="8" t="s">
        <v>1240</v>
      </c>
      <c r="E490" s="8" t="s">
        <v>2451</v>
      </c>
      <c r="F490" s="8" t="s">
        <v>2451</v>
      </c>
      <c r="G490" s="8" t="s">
        <v>2451</v>
      </c>
    </row>
    <row r="491" spans="1:7" outlineLevel="2" x14ac:dyDescent="0.35">
      <c r="A491" s="8" t="s">
        <v>2451</v>
      </c>
      <c r="B491" s="8" t="s">
        <v>2451</v>
      </c>
      <c r="C491" s="8"/>
      <c r="D491" s="8" t="s">
        <v>1241</v>
      </c>
      <c r="E491" s="8" t="s">
        <v>2451</v>
      </c>
      <c r="F491" s="8" t="s">
        <v>2451</v>
      </c>
      <c r="G491" s="8" t="s">
        <v>2451</v>
      </c>
    </row>
    <row r="492" spans="1:7" outlineLevel="2" x14ac:dyDescent="0.35">
      <c r="A492" s="8" t="s">
        <v>2451</v>
      </c>
      <c r="B492" s="8" t="s">
        <v>2451</v>
      </c>
      <c r="C492" s="8"/>
      <c r="D492" s="8" t="s">
        <v>1242</v>
      </c>
      <c r="E492" s="8" t="s">
        <v>2451</v>
      </c>
      <c r="F492" s="8" t="s">
        <v>2451</v>
      </c>
      <c r="G492" s="8" t="s">
        <v>2451</v>
      </c>
    </row>
    <row r="493" spans="1:7" outlineLevel="2" x14ac:dyDescent="0.35">
      <c r="A493" s="8" t="s">
        <v>2451</v>
      </c>
      <c r="B493" s="8" t="s">
        <v>2451</v>
      </c>
      <c r="C493" s="8"/>
      <c r="D493" s="8" t="s">
        <v>1243</v>
      </c>
      <c r="E493" s="8" t="s">
        <v>2451</v>
      </c>
      <c r="F493" s="8" t="s">
        <v>2451</v>
      </c>
      <c r="G493" s="8" t="s">
        <v>2451</v>
      </c>
    </row>
    <row r="494" spans="1:7" outlineLevel="2" x14ac:dyDescent="0.35">
      <c r="A494" s="8" t="s">
        <v>2451</v>
      </c>
      <c r="B494" s="8" t="s">
        <v>2451</v>
      </c>
      <c r="C494" s="8"/>
      <c r="D494" s="8" t="s">
        <v>1244</v>
      </c>
      <c r="E494" s="8" t="s">
        <v>2451</v>
      </c>
      <c r="F494" s="8" t="s">
        <v>2451</v>
      </c>
      <c r="G494" s="8" t="s">
        <v>2451</v>
      </c>
    </row>
    <row r="495" spans="1:7" outlineLevel="2" x14ac:dyDescent="0.35">
      <c r="A495" s="8" t="s">
        <v>2451</v>
      </c>
      <c r="B495" s="8" t="s">
        <v>2451</v>
      </c>
      <c r="C495" s="8"/>
      <c r="D495" s="8" t="s">
        <v>1245</v>
      </c>
      <c r="E495" s="8" t="s">
        <v>2451</v>
      </c>
      <c r="F495" s="8" t="s">
        <v>2451</v>
      </c>
      <c r="G495" s="8" t="s">
        <v>2451</v>
      </c>
    </row>
    <row r="496" spans="1:7" outlineLevel="2" x14ac:dyDescent="0.35">
      <c r="A496" s="8" t="s">
        <v>2451</v>
      </c>
      <c r="B496" s="8" t="s">
        <v>2451</v>
      </c>
      <c r="C496" s="8"/>
      <c r="D496" s="8" t="s">
        <v>1246</v>
      </c>
      <c r="E496" s="8" t="s">
        <v>2451</v>
      </c>
      <c r="F496" s="8" t="s">
        <v>2451</v>
      </c>
      <c r="G496" s="8" t="s">
        <v>2451</v>
      </c>
    </row>
    <row r="497" spans="1:7" outlineLevel="2" x14ac:dyDescent="0.35">
      <c r="A497" s="8" t="s">
        <v>2451</v>
      </c>
      <c r="B497" s="8" t="s">
        <v>2451</v>
      </c>
      <c r="C497" s="8"/>
      <c r="D497" s="8" t="s">
        <v>1247</v>
      </c>
      <c r="E497" s="8" t="s">
        <v>2451</v>
      </c>
      <c r="F497" s="8" t="s">
        <v>2451</v>
      </c>
      <c r="G497" s="8" t="s">
        <v>2451</v>
      </c>
    </row>
    <row r="498" spans="1:7" outlineLevel="2" x14ac:dyDescent="0.35">
      <c r="A498" s="8" t="s">
        <v>2451</v>
      </c>
      <c r="B498" s="8" t="s">
        <v>2451</v>
      </c>
      <c r="C498" s="8"/>
      <c r="D498" s="8" t="s">
        <v>1248</v>
      </c>
      <c r="E498" s="8" t="s">
        <v>2451</v>
      </c>
      <c r="F498" s="8" t="s">
        <v>2451</v>
      </c>
      <c r="G498" s="8" t="s">
        <v>2451</v>
      </c>
    </row>
    <row r="499" spans="1:7" outlineLevel="2" x14ac:dyDescent="0.35">
      <c r="A499" s="8" t="s">
        <v>2451</v>
      </c>
      <c r="B499" s="8" t="s">
        <v>2451</v>
      </c>
      <c r="C499" s="8"/>
      <c r="D499" s="8" t="s">
        <v>1249</v>
      </c>
      <c r="E499" s="8" t="s">
        <v>2451</v>
      </c>
      <c r="F499" s="8" t="s">
        <v>2451</v>
      </c>
      <c r="G499" s="8" t="s">
        <v>2451</v>
      </c>
    </row>
    <row r="500" spans="1:7" outlineLevel="2" x14ac:dyDescent="0.35">
      <c r="A500" s="8" t="s">
        <v>2451</v>
      </c>
      <c r="B500" s="8" t="s">
        <v>2451</v>
      </c>
      <c r="C500" s="8"/>
      <c r="D500" s="8" t="s">
        <v>1250</v>
      </c>
      <c r="E500" s="8" t="s">
        <v>2451</v>
      </c>
      <c r="F500" s="8" t="s">
        <v>2451</v>
      </c>
      <c r="G500" s="8" t="s">
        <v>2451</v>
      </c>
    </row>
    <row r="501" spans="1:7" outlineLevel="1" x14ac:dyDescent="0.35">
      <c r="A501" s="8" t="s">
        <v>354</v>
      </c>
      <c r="B501" s="8" t="s">
        <v>360</v>
      </c>
      <c r="C501" s="8">
        <v>5</v>
      </c>
      <c r="D501" s="8" t="s">
        <v>2451</v>
      </c>
      <c r="E501" s="8" t="s">
        <v>2451</v>
      </c>
      <c r="F501" s="8" t="s">
        <v>2451</v>
      </c>
      <c r="G501" s="8" t="s">
        <v>2451</v>
      </c>
    </row>
    <row r="502" spans="1:7" outlineLevel="2" x14ac:dyDescent="0.35">
      <c r="A502" s="8" t="s">
        <v>2451</v>
      </c>
      <c r="B502" s="8" t="s">
        <v>2451</v>
      </c>
      <c r="C502" s="8"/>
      <c r="D502" s="8" t="s">
        <v>1234</v>
      </c>
      <c r="E502" s="8" t="s">
        <v>2451</v>
      </c>
      <c r="F502" s="8" t="s">
        <v>2451</v>
      </c>
      <c r="G502" s="8" t="s">
        <v>2451</v>
      </c>
    </row>
    <row r="503" spans="1:7" outlineLevel="2" x14ac:dyDescent="0.35">
      <c r="A503" s="8" t="s">
        <v>2451</v>
      </c>
      <c r="B503" s="8" t="s">
        <v>2451</v>
      </c>
      <c r="C503" s="8"/>
      <c r="D503" s="8" t="s">
        <v>1235</v>
      </c>
      <c r="E503" s="8" t="s">
        <v>2451</v>
      </c>
      <c r="F503" s="8" t="s">
        <v>2451</v>
      </c>
      <c r="G503" s="8" t="s">
        <v>2451</v>
      </c>
    </row>
    <row r="504" spans="1:7" outlineLevel="2" x14ac:dyDescent="0.35">
      <c r="A504" s="8" t="s">
        <v>2451</v>
      </c>
      <c r="B504" s="8" t="s">
        <v>2451</v>
      </c>
      <c r="C504" s="8"/>
      <c r="D504" s="8" t="s">
        <v>1236</v>
      </c>
      <c r="E504" s="8" t="s">
        <v>2451</v>
      </c>
      <c r="F504" s="8" t="s">
        <v>2451</v>
      </c>
      <c r="G504" s="8" t="s">
        <v>2451</v>
      </c>
    </row>
    <row r="505" spans="1:7" outlineLevel="2" x14ac:dyDescent="0.35">
      <c r="A505" s="8" t="s">
        <v>2451</v>
      </c>
      <c r="B505" s="8" t="s">
        <v>2451</v>
      </c>
      <c r="C505" s="8"/>
      <c r="D505" s="8" t="s">
        <v>1237</v>
      </c>
      <c r="E505" s="8" t="s">
        <v>2451</v>
      </c>
      <c r="F505" s="8" t="s">
        <v>2451</v>
      </c>
      <c r="G505" s="8" t="s">
        <v>2451</v>
      </c>
    </row>
    <row r="506" spans="1:7" outlineLevel="2" x14ac:dyDescent="0.35">
      <c r="A506" s="8" t="s">
        <v>2451</v>
      </c>
      <c r="B506" s="8" t="s">
        <v>2451</v>
      </c>
      <c r="C506" s="8"/>
      <c r="D506" s="8" t="s">
        <v>1238</v>
      </c>
      <c r="E506" s="8" t="s">
        <v>2451</v>
      </c>
      <c r="F506" s="8" t="s">
        <v>2451</v>
      </c>
      <c r="G506" s="8" t="s">
        <v>2451</v>
      </c>
    </row>
    <row r="507" spans="1:7" outlineLevel="1" x14ac:dyDescent="0.35">
      <c r="A507" s="8" t="s">
        <v>354</v>
      </c>
      <c r="B507" s="8" t="s">
        <v>363</v>
      </c>
      <c r="C507" s="8">
        <v>7</v>
      </c>
      <c r="D507" s="8" t="s">
        <v>2451</v>
      </c>
      <c r="E507" s="8" t="s">
        <v>2451</v>
      </c>
      <c r="F507" s="8" t="s">
        <v>2451</v>
      </c>
      <c r="G507" s="8" t="s">
        <v>2451</v>
      </c>
    </row>
    <row r="508" spans="1:7" outlineLevel="2" x14ac:dyDescent="0.35">
      <c r="A508" s="8" t="s">
        <v>2451</v>
      </c>
      <c r="B508" s="8" t="s">
        <v>2451</v>
      </c>
      <c r="C508" s="8"/>
      <c r="D508" s="8" t="s">
        <v>1227</v>
      </c>
      <c r="E508" s="8" t="s">
        <v>2451</v>
      </c>
      <c r="F508" s="8" t="s">
        <v>2451</v>
      </c>
      <c r="G508" s="8" t="s">
        <v>2451</v>
      </c>
    </row>
    <row r="509" spans="1:7" outlineLevel="2" x14ac:dyDescent="0.35">
      <c r="A509" s="8" t="s">
        <v>2451</v>
      </c>
      <c r="B509" s="8" t="s">
        <v>2451</v>
      </c>
      <c r="C509" s="8"/>
      <c r="D509" s="8" t="s">
        <v>1228</v>
      </c>
      <c r="E509" s="8" t="s">
        <v>2451</v>
      </c>
      <c r="F509" s="8" t="s">
        <v>2451</v>
      </c>
      <c r="G509" s="8" t="s">
        <v>2451</v>
      </c>
    </row>
    <row r="510" spans="1:7" outlineLevel="2" x14ac:dyDescent="0.35">
      <c r="A510" s="8" t="s">
        <v>2451</v>
      </c>
      <c r="B510" s="8" t="s">
        <v>2451</v>
      </c>
      <c r="C510" s="8"/>
      <c r="D510" s="8" t="s">
        <v>1229</v>
      </c>
      <c r="E510" s="8" t="s">
        <v>2451</v>
      </c>
      <c r="F510" s="8" t="s">
        <v>2451</v>
      </c>
      <c r="G510" s="8" t="s">
        <v>2451</v>
      </c>
    </row>
    <row r="511" spans="1:7" outlineLevel="2" x14ac:dyDescent="0.35">
      <c r="A511" s="8" t="s">
        <v>2451</v>
      </c>
      <c r="B511" s="8" t="s">
        <v>2451</v>
      </c>
      <c r="C511" s="8"/>
      <c r="D511" s="8" t="s">
        <v>1230</v>
      </c>
      <c r="E511" s="8" t="s">
        <v>2451</v>
      </c>
      <c r="F511" s="8" t="s">
        <v>2451</v>
      </c>
      <c r="G511" s="8" t="s">
        <v>2451</v>
      </c>
    </row>
    <row r="512" spans="1:7" outlineLevel="2" x14ac:dyDescent="0.35">
      <c r="A512" s="8" t="s">
        <v>2451</v>
      </c>
      <c r="B512" s="8" t="s">
        <v>2451</v>
      </c>
      <c r="C512" s="8"/>
      <c r="D512" s="8" t="s">
        <v>1231</v>
      </c>
      <c r="E512" s="8" t="s">
        <v>2451</v>
      </c>
      <c r="F512" s="8" t="s">
        <v>2451</v>
      </c>
      <c r="G512" s="8" t="s">
        <v>2451</v>
      </c>
    </row>
    <row r="513" spans="1:7" outlineLevel="2" x14ac:dyDescent="0.35">
      <c r="A513" s="8" t="s">
        <v>2451</v>
      </c>
      <c r="B513" s="8" t="s">
        <v>2451</v>
      </c>
      <c r="C513" s="8"/>
      <c r="D513" s="8" t="s">
        <v>1232</v>
      </c>
      <c r="E513" s="8" t="s">
        <v>2451</v>
      </c>
      <c r="F513" s="8" t="s">
        <v>2451</v>
      </c>
      <c r="G513" s="8" t="s">
        <v>2451</v>
      </c>
    </row>
    <row r="514" spans="1:7" outlineLevel="2" x14ac:dyDescent="0.35">
      <c r="A514" s="8" t="s">
        <v>2451</v>
      </c>
      <c r="B514" s="8" t="s">
        <v>2451</v>
      </c>
      <c r="C514" s="8"/>
      <c r="D514" s="8" t="s">
        <v>1233</v>
      </c>
      <c r="E514" s="8" t="s">
        <v>2451</v>
      </c>
      <c r="F514" s="8" t="s">
        <v>2451</v>
      </c>
      <c r="G514" s="8" t="s">
        <v>2451</v>
      </c>
    </row>
    <row r="515" spans="1:7" outlineLevel="1" x14ac:dyDescent="0.35">
      <c r="A515" s="52" t="s">
        <v>2451</v>
      </c>
      <c r="B515" s="52" t="s">
        <v>2451</v>
      </c>
      <c r="C515" s="52"/>
      <c r="D515" s="52" t="s">
        <v>2451</v>
      </c>
      <c r="E515" s="52" t="s">
        <v>2451</v>
      </c>
      <c r="F515" s="52" t="s">
        <v>2451</v>
      </c>
      <c r="G515" s="52" t="s">
        <v>2451</v>
      </c>
    </row>
    <row r="516" spans="1:7" x14ac:dyDescent="0.35">
      <c r="A516" s="52" t="s">
        <v>2451</v>
      </c>
      <c r="B516" s="52" t="s">
        <v>2451</v>
      </c>
      <c r="C516" s="52"/>
      <c r="D516" s="52" t="s">
        <v>2451</v>
      </c>
      <c r="E516" s="52" t="s">
        <v>2451</v>
      </c>
      <c r="F516" s="52" t="s">
        <v>2451</v>
      </c>
      <c r="G516" s="52" t="s">
        <v>2451</v>
      </c>
    </row>
    <row r="517" spans="1:7" x14ac:dyDescent="0.35">
      <c r="A517" s="50" t="s">
        <v>35</v>
      </c>
      <c r="B517" s="47" t="s">
        <v>2451</v>
      </c>
      <c r="C517" s="47"/>
      <c r="D517" s="48" t="s">
        <v>2451</v>
      </c>
      <c r="E517" s="47" t="s">
        <v>2451</v>
      </c>
      <c r="F517" s="47" t="s">
        <v>2451</v>
      </c>
      <c r="G517" s="49" t="s">
        <v>2451</v>
      </c>
    </row>
    <row r="518" spans="1:7" outlineLevel="1" x14ac:dyDescent="0.35">
      <c r="A518" s="8" t="s">
        <v>42</v>
      </c>
      <c r="B518" s="8" t="s">
        <v>2460</v>
      </c>
      <c r="C518" s="8">
        <v>4</v>
      </c>
      <c r="D518" s="8" t="s">
        <v>2451</v>
      </c>
      <c r="E518" s="8" t="s">
        <v>2451</v>
      </c>
      <c r="F518" s="8" t="s">
        <v>2451</v>
      </c>
      <c r="G518" s="8" t="s">
        <v>2451</v>
      </c>
    </row>
    <row r="519" spans="1:7" outlineLevel="2" x14ac:dyDescent="0.35">
      <c r="A519" s="8" t="s">
        <v>2451</v>
      </c>
      <c r="B519" s="8" t="s">
        <v>2451</v>
      </c>
      <c r="C519" s="8"/>
      <c r="D519" s="8" t="s">
        <v>1223</v>
      </c>
      <c r="E519" s="8" t="s">
        <v>2451</v>
      </c>
      <c r="F519" s="8" t="s">
        <v>2451</v>
      </c>
      <c r="G519" s="8" t="s">
        <v>2451</v>
      </c>
    </row>
    <row r="520" spans="1:7" outlineLevel="2" x14ac:dyDescent="0.35">
      <c r="A520" s="8" t="s">
        <v>2451</v>
      </c>
      <c r="B520" s="8" t="s">
        <v>2451</v>
      </c>
      <c r="C520" s="8"/>
      <c r="D520" s="8" t="s">
        <v>1224</v>
      </c>
      <c r="E520" s="8" t="s">
        <v>2451</v>
      </c>
      <c r="F520" s="8" t="s">
        <v>2451</v>
      </c>
      <c r="G520" s="8" t="s">
        <v>2451</v>
      </c>
    </row>
    <row r="521" spans="1:7" outlineLevel="2" x14ac:dyDescent="0.35">
      <c r="A521" s="8" t="s">
        <v>2451</v>
      </c>
      <c r="B521" s="8" t="s">
        <v>2451</v>
      </c>
      <c r="C521" s="8"/>
      <c r="D521" s="8" t="s">
        <v>1225</v>
      </c>
      <c r="E521" s="8" t="s">
        <v>2451</v>
      </c>
      <c r="F521" s="8" t="s">
        <v>2451</v>
      </c>
      <c r="G521" s="8" t="s">
        <v>2451</v>
      </c>
    </row>
    <row r="522" spans="1:7" outlineLevel="2" x14ac:dyDescent="0.35">
      <c r="A522" s="8" t="s">
        <v>2451</v>
      </c>
      <c r="B522" s="8" t="s">
        <v>2451</v>
      </c>
      <c r="C522" s="8"/>
      <c r="D522" s="8" t="s">
        <v>1226</v>
      </c>
      <c r="E522" s="8" t="s">
        <v>2451</v>
      </c>
      <c r="F522" s="8" t="s">
        <v>2451</v>
      </c>
      <c r="G522" s="8" t="s">
        <v>2451</v>
      </c>
    </row>
    <row r="523" spans="1:7" outlineLevel="1" x14ac:dyDescent="0.35">
      <c r="A523" s="8" t="s">
        <v>49</v>
      </c>
      <c r="B523" s="8" t="s">
        <v>2461</v>
      </c>
      <c r="C523" s="8">
        <v>2</v>
      </c>
      <c r="D523" s="8" t="s">
        <v>2451</v>
      </c>
      <c r="E523" s="8" t="s">
        <v>2451</v>
      </c>
      <c r="F523" s="8" t="s">
        <v>2451</v>
      </c>
      <c r="G523" s="8" t="s">
        <v>2451</v>
      </c>
    </row>
    <row r="524" spans="1:7" outlineLevel="2" x14ac:dyDescent="0.35">
      <c r="A524" s="8" t="s">
        <v>2451</v>
      </c>
      <c r="B524" s="8" t="s">
        <v>2451</v>
      </c>
      <c r="C524" s="8"/>
      <c r="D524" s="8" t="s">
        <v>1221</v>
      </c>
      <c r="E524" s="8" t="s">
        <v>2451</v>
      </c>
      <c r="F524" s="8" t="s">
        <v>2451</v>
      </c>
      <c r="G524" s="8" t="s">
        <v>2451</v>
      </c>
    </row>
    <row r="525" spans="1:7" outlineLevel="2" x14ac:dyDescent="0.35">
      <c r="A525" s="8" t="s">
        <v>2451</v>
      </c>
      <c r="B525" s="8" t="s">
        <v>2451</v>
      </c>
      <c r="C525" s="8"/>
      <c r="D525" s="8" t="s">
        <v>1222</v>
      </c>
      <c r="E525" s="8" t="s">
        <v>2451</v>
      </c>
      <c r="F525" s="8" t="s">
        <v>2451</v>
      </c>
      <c r="G525" s="8" t="s">
        <v>2451</v>
      </c>
    </row>
    <row r="526" spans="1:7" outlineLevel="1" x14ac:dyDescent="0.35">
      <c r="A526" s="8" t="s">
        <v>55</v>
      </c>
      <c r="B526" s="8" t="s">
        <v>56</v>
      </c>
      <c r="C526" s="8">
        <v>3</v>
      </c>
      <c r="D526" s="8" t="s">
        <v>2451</v>
      </c>
      <c r="E526" s="8" t="s">
        <v>2451</v>
      </c>
      <c r="F526" s="8" t="s">
        <v>2451</v>
      </c>
      <c r="G526" s="8" t="s">
        <v>2451</v>
      </c>
    </row>
    <row r="527" spans="1:7" outlineLevel="2" x14ac:dyDescent="0.35">
      <c r="A527" s="8" t="s">
        <v>2451</v>
      </c>
      <c r="B527" s="8" t="s">
        <v>2451</v>
      </c>
      <c r="C527" s="8"/>
      <c r="D527" s="8" t="s">
        <v>1218</v>
      </c>
      <c r="E527" s="8" t="s">
        <v>2451</v>
      </c>
      <c r="F527" s="8" t="s">
        <v>2451</v>
      </c>
      <c r="G527" s="8" t="s">
        <v>2451</v>
      </c>
    </row>
    <row r="528" spans="1:7" outlineLevel="2" x14ac:dyDescent="0.35">
      <c r="A528" s="8" t="s">
        <v>2451</v>
      </c>
      <c r="B528" s="8" t="s">
        <v>2451</v>
      </c>
      <c r="C528" s="8"/>
      <c r="D528" s="8" t="s">
        <v>1219</v>
      </c>
      <c r="E528" s="8" t="s">
        <v>2451</v>
      </c>
      <c r="F528" s="8" t="s">
        <v>2451</v>
      </c>
      <c r="G528" s="8" t="s">
        <v>2451</v>
      </c>
    </row>
    <row r="529" spans="1:7" outlineLevel="2" x14ac:dyDescent="0.35">
      <c r="A529" s="8" t="s">
        <v>2451</v>
      </c>
      <c r="B529" s="8" t="s">
        <v>2451</v>
      </c>
      <c r="C529" s="8"/>
      <c r="D529" s="8" t="s">
        <v>1220</v>
      </c>
      <c r="E529" s="8" t="s">
        <v>2451</v>
      </c>
      <c r="F529" s="8" t="s">
        <v>2451</v>
      </c>
      <c r="G529" s="8" t="s">
        <v>2451</v>
      </c>
    </row>
    <row r="530" spans="1:7" outlineLevel="1" x14ac:dyDescent="0.35">
      <c r="A530" s="8" t="s">
        <v>55</v>
      </c>
      <c r="B530" s="8" t="s">
        <v>62</v>
      </c>
      <c r="C530" s="8">
        <v>4</v>
      </c>
      <c r="D530" s="8" t="s">
        <v>2451</v>
      </c>
      <c r="E530" s="8" t="s">
        <v>2451</v>
      </c>
      <c r="F530" s="8" t="s">
        <v>2451</v>
      </c>
      <c r="G530" s="8" t="s">
        <v>2451</v>
      </c>
    </row>
    <row r="531" spans="1:7" outlineLevel="2" x14ac:dyDescent="0.35">
      <c r="A531" s="8" t="s">
        <v>2451</v>
      </c>
      <c r="B531" s="8" t="s">
        <v>2451</v>
      </c>
      <c r="C531" s="8"/>
      <c r="D531" s="8" t="s">
        <v>1214</v>
      </c>
      <c r="E531" s="8" t="s">
        <v>2451</v>
      </c>
      <c r="F531" s="8" t="s">
        <v>2451</v>
      </c>
      <c r="G531" s="8" t="s">
        <v>2451</v>
      </c>
    </row>
    <row r="532" spans="1:7" outlineLevel="2" x14ac:dyDescent="0.35">
      <c r="A532" s="8" t="s">
        <v>2451</v>
      </c>
      <c r="B532" s="8" t="s">
        <v>2451</v>
      </c>
      <c r="C532" s="8"/>
      <c r="D532" s="8" t="s">
        <v>1215</v>
      </c>
      <c r="E532" s="8" t="s">
        <v>2451</v>
      </c>
      <c r="F532" s="8" t="s">
        <v>2451</v>
      </c>
      <c r="G532" s="8" t="s">
        <v>2451</v>
      </c>
    </row>
    <row r="533" spans="1:7" outlineLevel="2" x14ac:dyDescent="0.35">
      <c r="A533" s="8" t="s">
        <v>2451</v>
      </c>
      <c r="B533" s="8" t="s">
        <v>2451</v>
      </c>
      <c r="C533" s="8"/>
      <c r="D533" s="8" t="s">
        <v>1216</v>
      </c>
      <c r="E533" s="8" t="s">
        <v>2451</v>
      </c>
      <c r="F533" s="8" t="s">
        <v>2451</v>
      </c>
      <c r="G533" s="8" t="s">
        <v>2451</v>
      </c>
    </row>
    <row r="534" spans="1:7" outlineLevel="2" x14ac:dyDescent="0.35">
      <c r="A534" s="8" t="s">
        <v>2451</v>
      </c>
      <c r="B534" s="8" t="s">
        <v>2451</v>
      </c>
      <c r="C534" s="8"/>
      <c r="D534" s="8" t="s">
        <v>1217</v>
      </c>
      <c r="E534" s="8" t="s">
        <v>2451</v>
      </c>
      <c r="F534" s="8" t="s">
        <v>2451</v>
      </c>
      <c r="G534" s="8" t="s">
        <v>2451</v>
      </c>
    </row>
    <row r="535" spans="1:7" outlineLevel="1" x14ac:dyDescent="0.35">
      <c r="A535" s="8" t="s">
        <v>55</v>
      </c>
      <c r="B535" s="8" t="s">
        <v>2462</v>
      </c>
      <c r="C535" s="8">
        <v>6</v>
      </c>
      <c r="D535" s="8" t="s">
        <v>2451</v>
      </c>
      <c r="E535" s="8" t="s">
        <v>2451</v>
      </c>
      <c r="F535" s="8" t="s">
        <v>2451</v>
      </c>
      <c r="G535" s="8" t="s">
        <v>2451</v>
      </c>
    </row>
    <row r="536" spans="1:7" outlineLevel="2" x14ac:dyDescent="0.35">
      <c r="A536" s="8" t="s">
        <v>2451</v>
      </c>
      <c r="B536" s="8" t="s">
        <v>2451</v>
      </c>
      <c r="C536" s="8"/>
      <c r="D536" s="8" t="s">
        <v>1208</v>
      </c>
      <c r="E536" s="8" t="s">
        <v>2451</v>
      </c>
      <c r="F536" s="8" t="s">
        <v>2451</v>
      </c>
      <c r="G536" s="8" t="s">
        <v>2451</v>
      </c>
    </row>
    <row r="537" spans="1:7" outlineLevel="2" x14ac:dyDescent="0.35">
      <c r="A537" s="8" t="s">
        <v>2451</v>
      </c>
      <c r="B537" s="8" t="s">
        <v>2451</v>
      </c>
      <c r="C537" s="8"/>
      <c r="D537" s="8" t="s">
        <v>1209</v>
      </c>
      <c r="E537" s="8" t="s">
        <v>2451</v>
      </c>
      <c r="F537" s="8" t="s">
        <v>2451</v>
      </c>
      <c r="G537" s="8" t="s">
        <v>2451</v>
      </c>
    </row>
    <row r="538" spans="1:7" outlineLevel="2" x14ac:dyDescent="0.35">
      <c r="A538" s="8" t="s">
        <v>2451</v>
      </c>
      <c r="B538" s="8" t="s">
        <v>2451</v>
      </c>
      <c r="C538" s="8"/>
      <c r="D538" s="8" t="s">
        <v>1210</v>
      </c>
      <c r="E538" s="8" t="s">
        <v>2451</v>
      </c>
      <c r="F538" s="8" t="s">
        <v>2451</v>
      </c>
      <c r="G538" s="8" t="s">
        <v>2451</v>
      </c>
    </row>
    <row r="539" spans="1:7" outlineLevel="2" x14ac:dyDescent="0.35">
      <c r="A539" s="8" t="s">
        <v>2451</v>
      </c>
      <c r="B539" s="8" t="s">
        <v>2451</v>
      </c>
      <c r="C539" s="8"/>
      <c r="D539" s="8" t="s">
        <v>1211</v>
      </c>
      <c r="E539" s="8" t="s">
        <v>2451</v>
      </c>
      <c r="F539" s="8" t="s">
        <v>2451</v>
      </c>
      <c r="G539" s="8" t="s">
        <v>2451</v>
      </c>
    </row>
    <row r="540" spans="1:7" outlineLevel="2" x14ac:dyDescent="0.35">
      <c r="A540" s="8" t="s">
        <v>2451</v>
      </c>
      <c r="B540" s="8" t="s">
        <v>2451</v>
      </c>
      <c r="C540" s="8"/>
      <c r="D540" s="8" t="s">
        <v>1212</v>
      </c>
      <c r="E540" s="8" t="s">
        <v>2451</v>
      </c>
      <c r="F540" s="8" t="s">
        <v>2451</v>
      </c>
      <c r="G540" s="8" t="s">
        <v>2451</v>
      </c>
    </row>
    <row r="541" spans="1:7" outlineLevel="2" x14ac:dyDescent="0.35">
      <c r="A541" s="8" t="s">
        <v>2451</v>
      </c>
      <c r="B541" s="8" t="s">
        <v>2451</v>
      </c>
      <c r="C541" s="8"/>
      <c r="D541" s="8" t="s">
        <v>1213</v>
      </c>
      <c r="E541" s="8" t="s">
        <v>2451</v>
      </c>
      <c r="F541" s="8" t="s">
        <v>2451</v>
      </c>
      <c r="G541" s="8" t="s">
        <v>2451</v>
      </c>
    </row>
    <row r="542" spans="1:7" outlineLevel="1" x14ac:dyDescent="0.35">
      <c r="A542" s="8" t="s">
        <v>55</v>
      </c>
      <c r="B542" s="8" t="s">
        <v>75</v>
      </c>
      <c r="C542" s="8">
        <v>4</v>
      </c>
      <c r="D542" s="8" t="s">
        <v>2451</v>
      </c>
      <c r="E542" s="8" t="s">
        <v>2451</v>
      </c>
      <c r="F542" s="8" t="s">
        <v>2451</v>
      </c>
      <c r="G542" s="8" t="s">
        <v>2451</v>
      </c>
    </row>
    <row r="543" spans="1:7" outlineLevel="2" x14ac:dyDescent="0.35">
      <c r="A543" s="8" t="s">
        <v>2451</v>
      </c>
      <c r="B543" s="8" t="s">
        <v>2451</v>
      </c>
      <c r="C543" s="8"/>
      <c r="D543" s="8" t="s">
        <v>1204</v>
      </c>
      <c r="E543" s="8" t="s">
        <v>2451</v>
      </c>
      <c r="F543" s="8" t="s">
        <v>2451</v>
      </c>
      <c r="G543" s="8" t="s">
        <v>2451</v>
      </c>
    </row>
    <row r="544" spans="1:7" outlineLevel="2" x14ac:dyDescent="0.35">
      <c r="A544" s="8" t="s">
        <v>2451</v>
      </c>
      <c r="B544" s="8" t="s">
        <v>2451</v>
      </c>
      <c r="C544" s="8"/>
      <c r="D544" s="8" t="s">
        <v>1205</v>
      </c>
      <c r="E544" s="8" t="s">
        <v>2451</v>
      </c>
      <c r="F544" s="8" t="s">
        <v>2451</v>
      </c>
      <c r="G544" s="8" t="s">
        <v>2451</v>
      </c>
    </row>
    <row r="545" spans="1:7" outlineLevel="2" x14ac:dyDescent="0.35">
      <c r="A545" s="8" t="s">
        <v>2451</v>
      </c>
      <c r="B545" s="8" t="s">
        <v>2451</v>
      </c>
      <c r="C545" s="8"/>
      <c r="D545" s="8" t="s">
        <v>1206</v>
      </c>
      <c r="E545" s="8" t="s">
        <v>2451</v>
      </c>
      <c r="F545" s="8" t="s">
        <v>2451</v>
      </c>
      <c r="G545" s="8" t="s">
        <v>2451</v>
      </c>
    </row>
    <row r="546" spans="1:7" outlineLevel="2" x14ac:dyDescent="0.35">
      <c r="A546" s="8" t="s">
        <v>2451</v>
      </c>
      <c r="B546" s="8" t="s">
        <v>2451</v>
      </c>
      <c r="C546" s="8"/>
      <c r="D546" s="8" t="s">
        <v>1207</v>
      </c>
      <c r="E546" s="8" t="s">
        <v>2451</v>
      </c>
      <c r="F546" s="8" t="s">
        <v>2451</v>
      </c>
      <c r="G546" s="8" t="s">
        <v>2451</v>
      </c>
    </row>
    <row r="547" spans="1:7" outlineLevel="1" x14ac:dyDescent="0.35">
      <c r="A547" s="8" t="s">
        <v>55</v>
      </c>
      <c r="B547" s="8" t="s">
        <v>80</v>
      </c>
      <c r="C547" s="8">
        <v>3</v>
      </c>
      <c r="D547" s="8" t="s">
        <v>2451</v>
      </c>
      <c r="E547" s="8" t="s">
        <v>2451</v>
      </c>
      <c r="F547" s="8" t="s">
        <v>2451</v>
      </c>
      <c r="G547" s="8" t="s">
        <v>2451</v>
      </c>
    </row>
    <row r="548" spans="1:7" outlineLevel="2" x14ac:dyDescent="0.35">
      <c r="A548" s="8" t="s">
        <v>2451</v>
      </c>
      <c r="B548" s="8" t="s">
        <v>2451</v>
      </c>
      <c r="C548" s="8"/>
      <c r="D548" s="8" t="s">
        <v>1201</v>
      </c>
      <c r="E548" s="8" t="s">
        <v>2451</v>
      </c>
      <c r="F548" s="8" t="s">
        <v>2451</v>
      </c>
      <c r="G548" s="8" t="s">
        <v>2451</v>
      </c>
    </row>
    <row r="549" spans="1:7" outlineLevel="2" x14ac:dyDescent="0.35">
      <c r="A549" s="8" t="s">
        <v>2451</v>
      </c>
      <c r="B549" s="8" t="s">
        <v>2451</v>
      </c>
      <c r="C549" s="8"/>
      <c r="D549" s="8" t="s">
        <v>1202</v>
      </c>
      <c r="E549" s="8" t="s">
        <v>2451</v>
      </c>
      <c r="F549" s="8" t="s">
        <v>2451</v>
      </c>
      <c r="G549" s="8" t="s">
        <v>2451</v>
      </c>
    </row>
    <row r="550" spans="1:7" outlineLevel="2" x14ac:dyDescent="0.35">
      <c r="A550" s="8" t="s">
        <v>2451</v>
      </c>
      <c r="B550" s="8" t="s">
        <v>2451</v>
      </c>
      <c r="C550" s="8"/>
      <c r="D550" s="8" t="s">
        <v>1203</v>
      </c>
      <c r="E550" s="8" t="s">
        <v>2451</v>
      </c>
      <c r="F550" s="8" t="s">
        <v>2451</v>
      </c>
      <c r="G550" s="8" t="s">
        <v>2451</v>
      </c>
    </row>
    <row r="551" spans="1:7" outlineLevel="1" x14ac:dyDescent="0.35">
      <c r="A551" s="8" t="s">
        <v>86</v>
      </c>
      <c r="B551" s="8" t="s">
        <v>87</v>
      </c>
      <c r="C551" s="8">
        <v>2</v>
      </c>
      <c r="D551" s="8" t="s">
        <v>2451</v>
      </c>
      <c r="E551" s="8" t="s">
        <v>2451</v>
      </c>
      <c r="F551" s="8" t="s">
        <v>2451</v>
      </c>
      <c r="G551" s="8" t="s">
        <v>2451</v>
      </c>
    </row>
    <row r="552" spans="1:7" outlineLevel="2" x14ac:dyDescent="0.35">
      <c r="A552" s="8" t="s">
        <v>2451</v>
      </c>
      <c r="B552" s="8" t="s">
        <v>2451</v>
      </c>
      <c r="C552" s="8"/>
      <c r="D552" s="8" t="s">
        <v>1199</v>
      </c>
      <c r="E552" s="8" t="s">
        <v>2451</v>
      </c>
      <c r="F552" s="8" t="s">
        <v>2451</v>
      </c>
      <c r="G552" s="8" t="s">
        <v>2451</v>
      </c>
    </row>
    <row r="553" spans="1:7" outlineLevel="2" x14ac:dyDescent="0.35">
      <c r="A553" s="8" t="s">
        <v>2451</v>
      </c>
      <c r="B553" s="8" t="s">
        <v>2451</v>
      </c>
      <c r="C553" s="8"/>
      <c r="D553" s="8" t="s">
        <v>1200</v>
      </c>
      <c r="E553" s="8" t="s">
        <v>2451</v>
      </c>
      <c r="F553" s="8" t="s">
        <v>2451</v>
      </c>
      <c r="G553" s="8" t="s">
        <v>2451</v>
      </c>
    </row>
    <row r="554" spans="1:7" outlineLevel="1" x14ac:dyDescent="0.35">
      <c r="A554" s="8" t="s">
        <v>86</v>
      </c>
      <c r="B554" s="8" t="s">
        <v>2463</v>
      </c>
      <c r="C554" s="8">
        <v>3</v>
      </c>
      <c r="D554" s="8" t="s">
        <v>2451</v>
      </c>
      <c r="E554" s="8" t="s">
        <v>2451</v>
      </c>
      <c r="F554" s="8" t="s">
        <v>2451</v>
      </c>
      <c r="G554" s="8" t="s">
        <v>2451</v>
      </c>
    </row>
    <row r="555" spans="1:7" outlineLevel="2" x14ac:dyDescent="0.35">
      <c r="A555" s="8" t="s">
        <v>2451</v>
      </c>
      <c r="B555" s="8" t="s">
        <v>2451</v>
      </c>
      <c r="C555" s="8"/>
      <c r="D555" s="8" t="s">
        <v>1196</v>
      </c>
      <c r="E555" s="8" t="s">
        <v>2451</v>
      </c>
      <c r="F555" s="8" t="s">
        <v>2451</v>
      </c>
      <c r="G555" s="8" t="s">
        <v>2451</v>
      </c>
    </row>
    <row r="556" spans="1:7" outlineLevel="2" x14ac:dyDescent="0.35">
      <c r="A556" s="8" t="s">
        <v>2451</v>
      </c>
      <c r="B556" s="8" t="s">
        <v>2451</v>
      </c>
      <c r="C556" s="8"/>
      <c r="D556" s="8" t="s">
        <v>1197</v>
      </c>
      <c r="E556" s="8" t="s">
        <v>2451</v>
      </c>
      <c r="F556" s="8" t="s">
        <v>2451</v>
      </c>
      <c r="G556" s="8" t="s">
        <v>2451</v>
      </c>
    </row>
    <row r="557" spans="1:7" outlineLevel="2" x14ac:dyDescent="0.35">
      <c r="A557" s="8" t="s">
        <v>2451</v>
      </c>
      <c r="B557" s="8" t="s">
        <v>2451</v>
      </c>
      <c r="C557" s="8"/>
      <c r="D557" s="8" t="s">
        <v>1198</v>
      </c>
      <c r="E557" s="8" t="s">
        <v>2451</v>
      </c>
      <c r="F557" s="8" t="s">
        <v>2451</v>
      </c>
      <c r="G557" s="8" t="s">
        <v>2451</v>
      </c>
    </row>
    <row r="558" spans="1:7" outlineLevel="1" x14ac:dyDescent="0.35">
      <c r="A558" s="8" t="s">
        <v>86</v>
      </c>
      <c r="B558" s="8" t="s">
        <v>96</v>
      </c>
      <c r="C558" s="8">
        <v>6</v>
      </c>
      <c r="D558" s="8" t="s">
        <v>2451</v>
      </c>
      <c r="E558" s="8" t="s">
        <v>2451</v>
      </c>
      <c r="F558" s="8" t="s">
        <v>2451</v>
      </c>
      <c r="G558" s="8" t="s">
        <v>2451</v>
      </c>
    </row>
    <row r="559" spans="1:7" outlineLevel="2" x14ac:dyDescent="0.35">
      <c r="A559" s="8" t="s">
        <v>2451</v>
      </c>
      <c r="B559" s="8" t="s">
        <v>2451</v>
      </c>
      <c r="C559" s="8"/>
      <c r="D559" s="8" t="s">
        <v>1190</v>
      </c>
      <c r="E559" s="8" t="s">
        <v>2451</v>
      </c>
      <c r="F559" s="8" t="s">
        <v>2451</v>
      </c>
      <c r="G559" s="8" t="s">
        <v>2451</v>
      </c>
    </row>
    <row r="560" spans="1:7" outlineLevel="2" x14ac:dyDescent="0.35">
      <c r="A560" s="8" t="s">
        <v>2451</v>
      </c>
      <c r="B560" s="8" t="s">
        <v>2451</v>
      </c>
      <c r="C560" s="8"/>
      <c r="D560" s="8" t="s">
        <v>1191</v>
      </c>
      <c r="E560" s="8" t="s">
        <v>2451</v>
      </c>
      <c r="F560" s="8" t="s">
        <v>2451</v>
      </c>
      <c r="G560" s="8" t="s">
        <v>2451</v>
      </c>
    </row>
    <row r="561" spans="1:7" outlineLevel="2" x14ac:dyDescent="0.35">
      <c r="A561" s="8" t="s">
        <v>2451</v>
      </c>
      <c r="B561" s="8" t="s">
        <v>2451</v>
      </c>
      <c r="C561" s="8"/>
      <c r="D561" s="8" t="s">
        <v>1192</v>
      </c>
      <c r="E561" s="8" t="s">
        <v>2451</v>
      </c>
      <c r="F561" s="8" t="s">
        <v>2451</v>
      </c>
      <c r="G561" s="8" t="s">
        <v>2451</v>
      </c>
    </row>
    <row r="562" spans="1:7" outlineLevel="2" x14ac:dyDescent="0.35">
      <c r="A562" s="8" t="s">
        <v>2451</v>
      </c>
      <c r="B562" s="8" t="s">
        <v>2451</v>
      </c>
      <c r="C562" s="8"/>
      <c r="D562" s="8" t="s">
        <v>1193</v>
      </c>
      <c r="E562" s="8" t="s">
        <v>2451</v>
      </c>
      <c r="F562" s="8" t="s">
        <v>2451</v>
      </c>
      <c r="G562" s="8" t="s">
        <v>2451</v>
      </c>
    </row>
    <row r="563" spans="1:7" outlineLevel="2" x14ac:dyDescent="0.35">
      <c r="A563" s="8" t="s">
        <v>2451</v>
      </c>
      <c r="B563" s="8" t="s">
        <v>2451</v>
      </c>
      <c r="C563" s="8"/>
      <c r="D563" s="8" t="s">
        <v>1194</v>
      </c>
      <c r="E563" s="8" t="s">
        <v>2451</v>
      </c>
      <c r="F563" s="8" t="s">
        <v>2451</v>
      </c>
      <c r="G563" s="8" t="s">
        <v>2451</v>
      </c>
    </row>
    <row r="564" spans="1:7" outlineLevel="2" x14ac:dyDescent="0.35">
      <c r="A564" s="8" t="s">
        <v>2451</v>
      </c>
      <c r="B564" s="8" t="s">
        <v>2451</v>
      </c>
      <c r="C564" s="8"/>
      <c r="D564" s="8" t="s">
        <v>1195</v>
      </c>
      <c r="E564" s="8" t="s">
        <v>2451</v>
      </c>
      <c r="F564" s="8" t="s">
        <v>2451</v>
      </c>
      <c r="G564" s="8" t="s">
        <v>2451</v>
      </c>
    </row>
    <row r="565" spans="1:7" outlineLevel="1" x14ac:dyDescent="0.35">
      <c r="A565" s="8" t="s">
        <v>86</v>
      </c>
      <c r="B565" s="8" t="s">
        <v>100</v>
      </c>
      <c r="C565" s="8">
        <v>10</v>
      </c>
      <c r="D565" s="8" t="s">
        <v>2451</v>
      </c>
      <c r="E565" s="8" t="s">
        <v>2451</v>
      </c>
      <c r="F565" s="8" t="s">
        <v>2451</v>
      </c>
      <c r="G565" s="8" t="s">
        <v>2451</v>
      </c>
    </row>
    <row r="566" spans="1:7" outlineLevel="2" x14ac:dyDescent="0.35">
      <c r="A566" s="8" t="s">
        <v>2451</v>
      </c>
      <c r="B566" s="8" t="s">
        <v>2451</v>
      </c>
      <c r="C566" s="8"/>
      <c r="D566" s="8" t="s">
        <v>1180</v>
      </c>
      <c r="E566" s="8" t="s">
        <v>2451</v>
      </c>
      <c r="F566" s="8" t="s">
        <v>2451</v>
      </c>
      <c r="G566" s="8" t="s">
        <v>2451</v>
      </c>
    </row>
    <row r="567" spans="1:7" outlineLevel="2" x14ac:dyDescent="0.35">
      <c r="A567" s="8" t="s">
        <v>2451</v>
      </c>
      <c r="B567" s="8" t="s">
        <v>2451</v>
      </c>
      <c r="C567" s="8"/>
      <c r="D567" s="8" t="s">
        <v>1181</v>
      </c>
      <c r="E567" s="8" t="s">
        <v>2451</v>
      </c>
      <c r="F567" s="8" t="s">
        <v>2451</v>
      </c>
      <c r="G567" s="8" t="s">
        <v>2451</v>
      </c>
    </row>
    <row r="568" spans="1:7" outlineLevel="2" x14ac:dyDescent="0.35">
      <c r="A568" s="8" t="s">
        <v>2451</v>
      </c>
      <c r="B568" s="8" t="s">
        <v>2451</v>
      </c>
      <c r="C568" s="8"/>
      <c r="D568" s="8" t="s">
        <v>1182</v>
      </c>
      <c r="E568" s="8" t="s">
        <v>2451</v>
      </c>
      <c r="F568" s="8" t="s">
        <v>2451</v>
      </c>
      <c r="G568" s="8" t="s">
        <v>2451</v>
      </c>
    </row>
    <row r="569" spans="1:7" outlineLevel="2" x14ac:dyDescent="0.35">
      <c r="A569" s="8" t="s">
        <v>2451</v>
      </c>
      <c r="B569" s="8" t="s">
        <v>2451</v>
      </c>
      <c r="C569" s="8"/>
      <c r="D569" s="8" t="s">
        <v>1183</v>
      </c>
      <c r="E569" s="8" t="s">
        <v>2451</v>
      </c>
      <c r="F569" s="8" t="s">
        <v>2451</v>
      </c>
      <c r="G569" s="8" t="s">
        <v>2451</v>
      </c>
    </row>
    <row r="570" spans="1:7" outlineLevel="2" x14ac:dyDescent="0.35">
      <c r="A570" s="8" t="s">
        <v>2451</v>
      </c>
      <c r="B570" s="8" t="s">
        <v>2451</v>
      </c>
      <c r="C570" s="8"/>
      <c r="D570" s="8" t="s">
        <v>1184</v>
      </c>
      <c r="E570" s="8" t="s">
        <v>2451</v>
      </c>
      <c r="F570" s="8" t="s">
        <v>2451</v>
      </c>
      <c r="G570" s="8" t="s">
        <v>2451</v>
      </c>
    </row>
    <row r="571" spans="1:7" outlineLevel="2" x14ac:dyDescent="0.35">
      <c r="A571" s="8" t="s">
        <v>2451</v>
      </c>
      <c r="B571" s="8" t="s">
        <v>2451</v>
      </c>
      <c r="C571" s="8"/>
      <c r="D571" s="8" t="s">
        <v>1185</v>
      </c>
      <c r="E571" s="8" t="s">
        <v>2451</v>
      </c>
      <c r="F571" s="8" t="s">
        <v>2451</v>
      </c>
      <c r="G571" s="8" t="s">
        <v>2451</v>
      </c>
    </row>
    <row r="572" spans="1:7" outlineLevel="2" x14ac:dyDescent="0.35">
      <c r="A572" s="8" t="s">
        <v>2451</v>
      </c>
      <c r="B572" s="8" t="s">
        <v>2451</v>
      </c>
      <c r="C572" s="8"/>
      <c r="D572" s="8" t="s">
        <v>1186</v>
      </c>
      <c r="E572" s="8" t="s">
        <v>2451</v>
      </c>
      <c r="F572" s="8" t="s">
        <v>2451</v>
      </c>
      <c r="G572" s="8" t="s">
        <v>2451</v>
      </c>
    </row>
    <row r="573" spans="1:7" outlineLevel="2" x14ac:dyDescent="0.35">
      <c r="A573" s="8" t="s">
        <v>2451</v>
      </c>
      <c r="B573" s="8" t="s">
        <v>2451</v>
      </c>
      <c r="C573" s="8"/>
      <c r="D573" s="8" t="s">
        <v>1187</v>
      </c>
      <c r="E573" s="8" t="s">
        <v>2451</v>
      </c>
      <c r="F573" s="8" t="s">
        <v>2451</v>
      </c>
      <c r="G573" s="8" t="s">
        <v>2451</v>
      </c>
    </row>
    <row r="574" spans="1:7" outlineLevel="2" x14ac:dyDescent="0.35">
      <c r="A574" s="8" t="s">
        <v>2451</v>
      </c>
      <c r="B574" s="8" t="s">
        <v>2451</v>
      </c>
      <c r="C574" s="8"/>
      <c r="D574" s="8" t="s">
        <v>1188</v>
      </c>
      <c r="E574" s="8" t="s">
        <v>2451</v>
      </c>
      <c r="F574" s="8" t="s">
        <v>2451</v>
      </c>
      <c r="G574" s="8" t="s">
        <v>2451</v>
      </c>
    </row>
    <row r="575" spans="1:7" outlineLevel="2" x14ac:dyDescent="0.35">
      <c r="A575" s="8" t="s">
        <v>2451</v>
      </c>
      <c r="B575" s="8" t="s">
        <v>2451</v>
      </c>
      <c r="C575" s="8"/>
      <c r="D575" s="8" t="s">
        <v>1189</v>
      </c>
      <c r="E575" s="8" t="s">
        <v>2451</v>
      </c>
      <c r="F575" s="8" t="s">
        <v>2451</v>
      </c>
      <c r="G575" s="8" t="s">
        <v>2451</v>
      </c>
    </row>
    <row r="576" spans="1:7" outlineLevel="1" x14ac:dyDescent="0.35">
      <c r="A576" s="8" t="s">
        <v>103</v>
      </c>
      <c r="B576" s="8" t="s">
        <v>104</v>
      </c>
      <c r="C576" s="8">
        <v>4</v>
      </c>
      <c r="D576" s="8" t="s">
        <v>2451</v>
      </c>
      <c r="E576" s="8" t="s">
        <v>2451</v>
      </c>
      <c r="F576" s="8" t="s">
        <v>2451</v>
      </c>
      <c r="G576" s="8" t="s">
        <v>2451</v>
      </c>
    </row>
    <row r="577" spans="1:7" outlineLevel="2" x14ac:dyDescent="0.35">
      <c r="A577" s="8" t="s">
        <v>2451</v>
      </c>
      <c r="B577" s="8" t="s">
        <v>2451</v>
      </c>
      <c r="C577" s="8"/>
      <c r="D577" s="8" t="s">
        <v>1176</v>
      </c>
      <c r="E577" s="8" t="s">
        <v>2451</v>
      </c>
      <c r="F577" s="8" t="s">
        <v>2451</v>
      </c>
      <c r="G577" s="8" t="s">
        <v>2451</v>
      </c>
    </row>
    <row r="578" spans="1:7" outlineLevel="2" x14ac:dyDescent="0.35">
      <c r="A578" s="8" t="s">
        <v>2451</v>
      </c>
      <c r="B578" s="8" t="s">
        <v>2451</v>
      </c>
      <c r="C578" s="8"/>
      <c r="D578" s="8" t="s">
        <v>1177</v>
      </c>
      <c r="E578" s="8" t="s">
        <v>2451</v>
      </c>
      <c r="F578" s="8" t="s">
        <v>2451</v>
      </c>
      <c r="G578" s="8" t="s">
        <v>2451</v>
      </c>
    </row>
    <row r="579" spans="1:7" outlineLevel="2" x14ac:dyDescent="0.35">
      <c r="A579" s="8" t="s">
        <v>2451</v>
      </c>
      <c r="B579" s="8" t="s">
        <v>2451</v>
      </c>
      <c r="C579" s="8"/>
      <c r="D579" s="8" t="s">
        <v>1178</v>
      </c>
      <c r="E579" s="8" t="s">
        <v>2451</v>
      </c>
      <c r="F579" s="8" t="s">
        <v>2451</v>
      </c>
      <c r="G579" s="8" t="s">
        <v>2451</v>
      </c>
    </row>
    <row r="580" spans="1:7" outlineLevel="2" x14ac:dyDescent="0.35">
      <c r="A580" s="8" t="s">
        <v>2451</v>
      </c>
      <c r="B580" s="8" t="s">
        <v>2451</v>
      </c>
      <c r="C580" s="8"/>
      <c r="D580" s="8" t="s">
        <v>1179</v>
      </c>
      <c r="E580" s="8" t="s">
        <v>2451</v>
      </c>
      <c r="F580" s="8" t="s">
        <v>2451</v>
      </c>
      <c r="G580" s="8" t="s">
        <v>2451</v>
      </c>
    </row>
    <row r="581" spans="1:7" outlineLevel="1" x14ac:dyDescent="0.35">
      <c r="A581" s="8" t="s">
        <v>103</v>
      </c>
      <c r="B581" s="8" t="s">
        <v>110</v>
      </c>
      <c r="C581" s="8">
        <v>6</v>
      </c>
      <c r="D581" s="8" t="s">
        <v>2451</v>
      </c>
      <c r="E581" s="8" t="s">
        <v>2451</v>
      </c>
      <c r="F581" s="8" t="s">
        <v>2451</v>
      </c>
      <c r="G581" s="8" t="s">
        <v>2451</v>
      </c>
    </row>
    <row r="582" spans="1:7" outlineLevel="2" x14ac:dyDescent="0.35">
      <c r="A582" s="8" t="s">
        <v>2451</v>
      </c>
      <c r="B582" s="8" t="s">
        <v>2451</v>
      </c>
      <c r="C582" s="8"/>
      <c r="D582" s="8" t="s">
        <v>1170</v>
      </c>
      <c r="E582" s="8" t="s">
        <v>2451</v>
      </c>
      <c r="F582" s="8" t="s">
        <v>2451</v>
      </c>
      <c r="G582" s="8" t="s">
        <v>2451</v>
      </c>
    </row>
    <row r="583" spans="1:7" outlineLevel="2" x14ac:dyDescent="0.35">
      <c r="A583" s="8" t="s">
        <v>2451</v>
      </c>
      <c r="B583" s="8" t="s">
        <v>2451</v>
      </c>
      <c r="C583" s="8"/>
      <c r="D583" s="8" t="s">
        <v>1171</v>
      </c>
      <c r="E583" s="8" t="s">
        <v>2451</v>
      </c>
      <c r="F583" s="8" t="s">
        <v>2451</v>
      </c>
      <c r="G583" s="8" t="s">
        <v>2451</v>
      </c>
    </row>
    <row r="584" spans="1:7" outlineLevel="2" x14ac:dyDescent="0.35">
      <c r="A584" s="8" t="s">
        <v>2451</v>
      </c>
      <c r="B584" s="8" t="s">
        <v>2451</v>
      </c>
      <c r="C584" s="8"/>
      <c r="D584" s="8" t="s">
        <v>1172</v>
      </c>
      <c r="E584" s="8" t="s">
        <v>2451</v>
      </c>
      <c r="F584" s="8" t="s">
        <v>2451</v>
      </c>
      <c r="G584" s="8" t="s">
        <v>2451</v>
      </c>
    </row>
    <row r="585" spans="1:7" outlineLevel="2" x14ac:dyDescent="0.35">
      <c r="A585" s="8" t="s">
        <v>2451</v>
      </c>
      <c r="B585" s="8" t="s">
        <v>2451</v>
      </c>
      <c r="C585" s="8"/>
      <c r="D585" s="8" t="s">
        <v>1173</v>
      </c>
      <c r="E585" s="8" t="s">
        <v>2451</v>
      </c>
      <c r="F585" s="8" t="s">
        <v>2451</v>
      </c>
      <c r="G585" s="8" t="s">
        <v>2451</v>
      </c>
    </row>
    <row r="586" spans="1:7" outlineLevel="2" x14ac:dyDescent="0.35">
      <c r="A586" s="8" t="s">
        <v>2451</v>
      </c>
      <c r="B586" s="8" t="s">
        <v>2451</v>
      </c>
      <c r="C586" s="8"/>
      <c r="D586" s="8" t="s">
        <v>1174</v>
      </c>
      <c r="E586" s="8" t="s">
        <v>2451</v>
      </c>
      <c r="F586" s="8" t="s">
        <v>2451</v>
      </c>
      <c r="G586" s="8" t="s">
        <v>2451</v>
      </c>
    </row>
    <row r="587" spans="1:7" outlineLevel="2" x14ac:dyDescent="0.35">
      <c r="A587" s="8" t="s">
        <v>2451</v>
      </c>
      <c r="B587" s="8" t="s">
        <v>2451</v>
      </c>
      <c r="C587" s="8"/>
      <c r="D587" s="8" t="s">
        <v>1175</v>
      </c>
      <c r="E587" s="8" t="s">
        <v>2451</v>
      </c>
      <c r="F587" s="8" t="s">
        <v>2451</v>
      </c>
      <c r="G587" s="8" t="s">
        <v>2451</v>
      </c>
    </row>
    <row r="588" spans="1:7" outlineLevel="1" x14ac:dyDescent="0.35">
      <c r="A588" s="8" t="s">
        <v>103</v>
      </c>
      <c r="B588" s="8" t="s">
        <v>115</v>
      </c>
      <c r="C588" s="8">
        <v>2</v>
      </c>
      <c r="D588" s="8" t="s">
        <v>2451</v>
      </c>
      <c r="E588" s="8" t="s">
        <v>2451</v>
      </c>
      <c r="F588" s="8" t="s">
        <v>2451</v>
      </c>
      <c r="G588" s="8" t="s">
        <v>2451</v>
      </c>
    </row>
    <row r="589" spans="1:7" outlineLevel="2" x14ac:dyDescent="0.35">
      <c r="A589" s="8" t="s">
        <v>2451</v>
      </c>
      <c r="B589" s="8" t="s">
        <v>2451</v>
      </c>
      <c r="C589" s="8"/>
      <c r="D589" s="8" t="s">
        <v>1168</v>
      </c>
      <c r="E589" s="8" t="s">
        <v>2451</v>
      </c>
      <c r="F589" s="8" t="s">
        <v>2451</v>
      </c>
      <c r="G589" s="8" t="s">
        <v>2451</v>
      </c>
    </row>
    <row r="590" spans="1:7" outlineLevel="2" x14ac:dyDescent="0.35">
      <c r="A590" s="8" t="s">
        <v>2451</v>
      </c>
      <c r="B590" s="8" t="s">
        <v>2451</v>
      </c>
      <c r="C590" s="8"/>
      <c r="D590" s="8" t="s">
        <v>1169</v>
      </c>
      <c r="E590" s="8" t="s">
        <v>2451</v>
      </c>
      <c r="F590" s="8" t="s">
        <v>2451</v>
      </c>
      <c r="G590" s="8" t="s">
        <v>2451</v>
      </c>
    </row>
    <row r="591" spans="1:7" outlineLevel="1" x14ac:dyDescent="0.35">
      <c r="A591" s="8" t="s">
        <v>103</v>
      </c>
      <c r="B591" s="8" t="s">
        <v>120</v>
      </c>
      <c r="C591" s="8">
        <v>14</v>
      </c>
      <c r="D591" s="8" t="s">
        <v>2451</v>
      </c>
      <c r="E591" s="8" t="s">
        <v>2451</v>
      </c>
      <c r="F591" s="8" t="s">
        <v>2451</v>
      </c>
      <c r="G591" s="8" t="s">
        <v>2451</v>
      </c>
    </row>
    <row r="592" spans="1:7" outlineLevel="2" x14ac:dyDescent="0.35">
      <c r="A592" s="8" t="s">
        <v>2451</v>
      </c>
      <c r="B592" s="8" t="s">
        <v>2451</v>
      </c>
      <c r="C592" s="8"/>
      <c r="D592" s="8" t="s">
        <v>1154</v>
      </c>
      <c r="E592" s="8" t="s">
        <v>2451</v>
      </c>
      <c r="F592" s="8" t="s">
        <v>2451</v>
      </c>
      <c r="G592" s="8" t="s">
        <v>2451</v>
      </c>
    </row>
    <row r="593" spans="1:7" outlineLevel="2" x14ac:dyDescent="0.35">
      <c r="A593" s="8" t="s">
        <v>2451</v>
      </c>
      <c r="B593" s="8" t="s">
        <v>2451</v>
      </c>
      <c r="C593" s="8"/>
      <c r="D593" s="8" t="s">
        <v>1155</v>
      </c>
      <c r="E593" s="8" t="s">
        <v>2451</v>
      </c>
      <c r="F593" s="8" t="s">
        <v>2451</v>
      </c>
      <c r="G593" s="8" t="s">
        <v>2451</v>
      </c>
    </row>
    <row r="594" spans="1:7" outlineLevel="2" x14ac:dyDescent="0.35">
      <c r="A594" s="8" t="s">
        <v>2451</v>
      </c>
      <c r="B594" s="8" t="s">
        <v>2451</v>
      </c>
      <c r="C594" s="8"/>
      <c r="D594" s="8" t="s">
        <v>1156</v>
      </c>
      <c r="E594" s="8" t="s">
        <v>2451</v>
      </c>
      <c r="F594" s="8" t="s">
        <v>2451</v>
      </c>
      <c r="G594" s="8" t="s">
        <v>2451</v>
      </c>
    </row>
    <row r="595" spans="1:7" outlineLevel="2" x14ac:dyDescent="0.35">
      <c r="A595" s="8" t="s">
        <v>2451</v>
      </c>
      <c r="B595" s="8" t="s">
        <v>2451</v>
      </c>
      <c r="C595" s="8"/>
      <c r="D595" s="8" t="s">
        <v>1157</v>
      </c>
      <c r="E595" s="8" t="s">
        <v>2451</v>
      </c>
      <c r="F595" s="8" t="s">
        <v>2451</v>
      </c>
      <c r="G595" s="8" t="s">
        <v>2451</v>
      </c>
    </row>
    <row r="596" spans="1:7" outlineLevel="2" x14ac:dyDescent="0.35">
      <c r="A596" s="8" t="s">
        <v>2451</v>
      </c>
      <c r="B596" s="8" t="s">
        <v>2451</v>
      </c>
      <c r="C596" s="8"/>
      <c r="D596" s="8" t="s">
        <v>1158</v>
      </c>
      <c r="E596" s="8" t="s">
        <v>2451</v>
      </c>
      <c r="F596" s="8" t="s">
        <v>2451</v>
      </c>
      <c r="G596" s="8" t="s">
        <v>2451</v>
      </c>
    </row>
    <row r="597" spans="1:7" outlineLevel="2" x14ac:dyDescent="0.35">
      <c r="A597" s="8" t="s">
        <v>2451</v>
      </c>
      <c r="B597" s="8" t="s">
        <v>2451</v>
      </c>
      <c r="C597" s="8"/>
      <c r="D597" s="8" t="s">
        <v>1159</v>
      </c>
      <c r="E597" s="8" t="s">
        <v>2451</v>
      </c>
      <c r="F597" s="8" t="s">
        <v>2451</v>
      </c>
      <c r="G597" s="8" t="s">
        <v>2451</v>
      </c>
    </row>
    <row r="598" spans="1:7" outlineLevel="2" x14ac:dyDescent="0.35">
      <c r="A598" s="8" t="s">
        <v>2451</v>
      </c>
      <c r="B598" s="8" t="s">
        <v>2451</v>
      </c>
      <c r="C598" s="8"/>
      <c r="D598" s="8" t="s">
        <v>1160</v>
      </c>
      <c r="E598" s="8" t="s">
        <v>2451</v>
      </c>
      <c r="F598" s="8" t="s">
        <v>2451</v>
      </c>
      <c r="G598" s="8" t="s">
        <v>2451</v>
      </c>
    </row>
    <row r="599" spans="1:7" outlineLevel="2" x14ac:dyDescent="0.35">
      <c r="A599" s="8" t="s">
        <v>2451</v>
      </c>
      <c r="B599" s="8" t="s">
        <v>2451</v>
      </c>
      <c r="C599" s="8"/>
      <c r="D599" s="8" t="s">
        <v>1161</v>
      </c>
      <c r="E599" s="8" t="s">
        <v>2451</v>
      </c>
      <c r="F599" s="8" t="s">
        <v>2451</v>
      </c>
      <c r="G599" s="8" t="s">
        <v>2451</v>
      </c>
    </row>
    <row r="600" spans="1:7" outlineLevel="2" x14ac:dyDescent="0.35">
      <c r="A600" s="8" t="s">
        <v>2451</v>
      </c>
      <c r="B600" s="8" t="s">
        <v>2451</v>
      </c>
      <c r="C600" s="8"/>
      <c r="D600" s="8" t="s">
        <v>1162</v>
      </c>
      <c r="E600" s="8" t="s">
        <v>2451</v>
      </c>
      <c r="F600" s="8" t="s">
        <v>2451</v>
      </c>
      <c r="G600" s="8" t="s">
        <v>2451</v>
      </c>
    </row>
    <row r="601" spans="1:7" outlineLevel="2" x14ac:dyDescent="0.35">
      <c r="A601" s="8" t="s">
        <v>2451</v>
      </c>
      <c r="B601" s="8" t="s">
        <v>2451</v>
      </c>
      <c r="C601" s="8"/>
      <c r="D601" s="8" t="s">
        <v>1163</v>
      </c>
      <c r="E601" s="8" t="s">
        <v>2451</v>
      </c>
      <c r="F601" s="8" t="s">
        <v>2451</v>
      </c>
      <c r="G601" s="8" t="s">
        <v>2451</v>
      </c>
    </row>
    <row r="602" spans="1:7" outlineLevel="2" x14ac:dyDescent="0.35">
      <c r="A602" s="8" t="s">
        <v>2451</v>
      </c>
      <c r="B602" s="8" t="s">
        <v>2451</v>
      </c>
      <c r="C602" s="8"/>
      <c r="D602" s="8" t="s">
        <v>1164</v>
      </c>
      <c r="E602" s="8" t="s">
        <v>2451</v>
      </c>
      <c r="F602" s="8" t="s">
        <v>2451</v>
      </c>
      <c r="G602" s="8" t="s">
        <v>2451</v>
      </c>
    </row>
    <row r="603" spans="1:7" outlineLevel="2" x14ac:dyDescent="0.35">
      <c r="A603" s="8" t="s">
        <v>2451</v>
      </c>
      <c r="B603" s="8" t="s">
        <v>2451</v>
      </c>
      <c r="C603" s="8"/>
      <c r="D603" s="8" t="s">
        <v>1165</v>
      </c>
      <c r="E603" s="8" t="s">
        <v>2451</v>
      </c>
      <c r="F603" s="8" t="s">
        <v>2451</v>
      </c>
      <c r="G603" s="8" t="s">
        <v>2451</v>
      </c>
    </row>
    <row r="604" spans="1:7" outlineLevel="2" x14ac:dyDescent="0.35">
      <c r="A604" s="8" t="s">
        <v>2451</v>
      </c>
      <c r="B604" s="8" t="s">
        <v>2451</v>
      </c>
      <c r="C604" s="8"/>
      <c r="D604" s="8" t="s">
        <v>1166</v>
      </c>
      <c r="E604" s="8" t="s">
        <v>2451</v>
      </c>
      <c r="F604" s="8" t="s">
        <v>2451</v>
      </c>
      <c r="G604" s="8" t="s">
        <v>2451</v>
      </c>
    </row>
    <row r="605" spans="1:7" outlineLevel="2" x14ac:dyDescent="0.35">
      <c r="A605" s="8" t="s">
        <v>2451</v>
      </c>
      <c r="B605" s="8" t="s">
        <v>2451</v>
      </c>
      <c r="C605" s="8"/>
      <c r="D605" s="8" t="s">
        <v>1167</v>
      </c>
      <c r="E605" s="8" t="s">
        <v>2451</v>
      </c>
      <c r="F605" s="8" t="s">
        <v>2451</v>
      </c>
      <c r="G605" s="8" t="s">
        <v>2451</v>
      </c>
    </row>
    <row r="606" spans="1:7" outlineLevel="1" x14ac:dyDescent="0.35">
      <c r="A606" s="8" t="s">
        <v>124</v>
      </c>
      <c r="B606" s="8" t="s">
        <v>125</v>
      </c>
      <c r="C606" s="8">
        <v>8</v>
      </c>
      <c r="D606" s="8" t="s">
        <v>2451</v>
      </c>
      <c r="E606" s="8" t="s">
        <v>2451</v>
      </c>
      <c r="F606" s="8" t="s">
        <v>2451</v>
      </c>
      <c r="G606" s="8" t="s">
        <v>2451</v>
      </c>
    </row>
    <row r="607" spans="1:7" outlineLevel="2" x14ac:dyDescent="0.35">
      <c r="A607" s="8" t="s">
        <v>2451</v>
      </c>
      <c r="B607" s="8" t="s">
        <v>2451</v>
      </c>
      <c r="C607" s="8"/>
      <c r="D607" s="8" t="s">
        <v>1146</v>
      </c>
      <c r="E607" s="8" t="s">
        <v>2451</v>
      </c>
      <c r="F607" s="8" t="s">
        <v>2451</v>
      </c>
      <c r="G607" s="8" t="s">
        <v>2451</v>
      </c>
    </row>
    <row r="608" spans="1:7" outlineLevel="2" x14ac:dyDescent="0.35">
      <c r="A608" s="8" t="s">
        <v>2451</v>
      </c>
      <c r="B608" s="8" t="s">
        <v>2451</v>
      </c>
      <c r="C608" s="8"/>
      <c r="D608" s="8" t="s">
        <v>1147</v>
      </c>
      <c r="E608" s="8" t="s">
        <v>2451</v>
      </c>
      <c r="F608" s="8" t="s">
        <v>2451</v>
      </c>
      <c r="G608" s="8" t="s">
        <v>2451</v>
      </c>
    </row>
    <row r="609" spans="1:7" outlineLevel="2" x14ac:dyDescent="0.35">
      <c r="A609" s="8" t="s">
        <v>2451</v>
      </c>
      <c r="B609" s="8" t="s">
        <v>2451</v>
      </c>
      <c r="C609" s="8"/>
      <c r="D609" s="8" t="s">
        <v>1148</v>
      </c>
      <c r="E609" s="8" t="s">
        <v>2451</v>
      </c>
      <c r="F609" s="8" t="s">
        <v>2451</v>
      </c>
      <c r="G609" s="8" t="s">
        <v>2451</v>
      </c>
    </row>
    <row r="610" spans="1:7" outlineLevel="2" x14ac:dyDescent="0.35">
      <c r="A610" s="8" t="s">
        <v>2451</v>
      </c>
      <c r="B610" s="8" t="s">
        <v>2451</v>
      </c>
      <c r="C610" s="8"/>
      <c r="D610" s="8" t="s">
        <v>1149</v>
      </c>
      <c r="E610" s="8" t="s">
        <v>2451</v>
      </c>
      <c r="F610" s="8" t="s">
        <v>2451</v>
      </c>
      <c r="G610" s="8" t="s">
        <v>2451</v>
      </c>
    </row>
    <row r="611" spans="1:7" outlineLevel="2" x14ac:dyDescent="0.35">
      <c r="A611" s="8" t="s">
        <v>2451</v>
      </c>
      <c r="B611" s="8" t="s">
        <v>2451</v>
      </c>
      <c r="C611" s="8"/>
      <c r="D611" s="8" t="s">
        <v>1150</v>
      </c>
      <c r="E611" s="8" t="s">
        <v>2451</v>
      </c>
      <c r="F611" s="8" t="s">
        <v>2451</v>
      </c>
      <c r="G611" s="8" t="s">
        <v>2451</v>
      </c>
    </row>
    <row r="612" spans="1:7" outlineLevel="2" x14ac:dyDescent="0.35">
      <c r="A612" s="8" t="s">
        <v>2451</v>
      </c>
      <c r="B612" s="8" t="s">
        <v>2451</v>
      </c>
      <c r="C612" s="8"/>
      <c r="D612" s="8" t="s">
        <v>1151</v>
      </c>
      <c r="E612" s="8" t="s">
        <v>2451</v>
      </c>
      <c r="F612" s="8" t="s">
        <v>2451</v>
      </c>
      <c r="G612" s="8" t="s">
        <v>2451</v>
      </c>
    </row>
    <row r="613" spans="1:7" outlineLevel="2" x14ac:dyDescent="0.35">
      <c r="A613" s="8" t="s">
        <v>2451</v>
      </c>
      <c r="B613" s="8" t="s">
        <v>2451</v>
      </c>
      <c r="C613" s="8"/>
      <c r="D613" s="8" t="s">
        <v>1152</v>
      </c>
      <c r="E613" s="8" t="s">
        <v>2451</v>
      </c>
      <c r="F613" s="8" t="s">
        <v>2451</v>
      </c>
      <c r="G613" s="8" t="s">
        <v>2451</v>
      </c>
    </row>
    <row r="614" spans="1:7" outlineLevel="2" x14ac:dyDescent="0.35">
      <c r="A614" s="8" t="s">
        <v>2451</v>
      </c>
      <c r="B614" s="8" t="s">
        <v>2451</v>
      </c>
      <c r="C614" s="8"/>
      <c r="D614" s="8" t="s">
        <v>1153</v>
      </c>
      <c r="E614" s="8" t="s">
        <v>2451</v>
      </c>
      <c r="F614" s="8" t="s">
        <v>2451</v>
      </c>
      <c r="G614" s="8" t="s">
        <v>2451</v>
      </c>
    </row>
    <row r="615" spans="1:7" outlineLevel="1" x14ac:dyDescent="0.35">
      <c r="A615" s="8" t="s">
        <v>124</v>
      </c>
      <c r="B615" s="8" t="s">
        <v>131</v>
      </c>
      <c r="C615" s="8">
        <v>2</v>
      </c>
      <c r="D615" s="8" t="s">
        <v>2451</v>
      </c>
      <c r="E615" s="8" t="s">
        <v>2451</v>
      </c>
      <c r="F615" s="8" t="s">
        <v>2451</v>
      </c>
      <c r="G615" s="8" t="s">
        <v>2451</v>
      </c>
    </row>
    <row r="616" spans="1:7" outlineLevel="2" x14ac:dyDescent="0.35">
      <c r="A616" s="8" t="s">
        <v>2451</v>
      </c>
      <c r="B616" s="8" t="s">
        <v>2451</v>
      </c>
      <c r="C616" s="8"/>
      <c r="D616" s="8" t="s">
        <v>1144</v>
      </c>
      <c r="E616" s="8" t="s">
        <v>2451</v>
      </c>
      <c r="F616" s="8" t="s">
        <v>2451</v>
      </c>
      <c r="G616" s="8" t="s">
        <v>2451</v>
      </c>
    </row>
    <row r="617" spans="1:7" outlineLevel="2" x14ac:dyDescent="0.35">
      <c r="A617" s="8" t="s">
        <v>2451</v>
      </c>
      <c r="B617" s="8" t="s">
        <v>2451</v>
      </c>
      <c r="C617" s="8"/>
      <c r="D617" s="8" t="s">
        <v>1145</v>
      </c>
      <c r="E617" s="8" t="s">
        <v>2451</v>
      </c>
      <c r="F617" s="8" t="s">
        <v>2451</v>
      </c>
      <c r="G617" s="8" t="s">
        <v>2451</v>
      </c>
    </row>
    <row r="618" spans="1:7" outlineLevel="1" x14ac:dyDescent="0.35">
      <c r="A618" s="8" t="s">
        <v>124</v>
      </c>
      <c r="B618" s="8" t="s">
        <v>137</v>
      </c>
      <c r="C618" s="8">
        <v>8</v>
      </c>
      <c r="D618" s="8" t="s">
        <v>2451</v>
      </c>
      <c r="E618" s="8" t="s">
        <v>2451</v>
      </c>
      <c r="F618" s="8" t="s">
        <v>2451</v>
      </c>
      <c r="G618" s="8" t="s">
        <v>2451</v>
      </c>
    </row>
    <row r="619" spans="1:7" outlineLevel="2" x14ac:dyDescent="0.35">
      <c r="A619" s="8" t="s">
        <v>2451</v>
      </c>
      <c r="B619" s="8" t="s">
        <v>2451</v>
      </c>
      <c r="C619" s="8"/>
      <c r="D619" s="8" t="s">
        <v>1136</v>
      </c>
      <c r="E619" s="8" t="s">
        <v>2451</v>
      </c>
      <c r="F619" s="8" t="s">
        <v>2451</v>
      </c>
      <c r="G619" s="8" t="s">
        <v>2451</v>
      </c>
    </row>
    <row r="620" spans="1:7" outlineLevel="2" x14ac:dyDescent="0.35">
      <c r="A620" s="8" t="s">
        <v>2451</v>
      </c>
      <c r="B620" s="8" t="s">
        <v>2451</v>
      </c>
      <c r="C620" s="8"/>
      <c r="D620" s="8" t="s">
        <v>1137</v>
      </c>
      <c r="E620" s="8" t="s">
        <v>2451</v>
      </c>
      <c r="F620" s="8" t="s">
        <v>2451</v>
      </c>
      <c r="G620" s="8" t="s">
        <v>2451</v>
      </c>
    </row>
    <row r="621" spans="1:7" outlineLevel="2" x14ac:dyDescent="0.35">
      <c r="A621" s="8" t="s">
        <v>2451</v>
      </c>
      <c r="B621" s="8" t="s">
        <v>2451</v>
      </c>
      <c r="C621" s="8"/>
      <c r="D621" s="8" t="s">
        <v>1138</v>
      </c>
      <c r="E621" s="8" t="s">
        <v>2451</v>
      </c>
      <c r="F621" s="8" t="s">
        <v>2451</v>
      </c>
      <c r="G621" s="8" t="s">
        <v>2451</v>
      </c>
    </row>
    <row r="622" spans="1:7" outlineLevel="2" x14ac:dyDescent="0.35">
      <c r="A622" s="8" t="s">
        <v>2451</v>
      </c>
      <c r="B622" s="8" t="s">
        <v>2451</v>
      </c>
      <c r="C622" s="8"/>
      <c r="D622" s="8" t="s">
        <v>1139</v>
      </c>
      <c r="E622" s="8" t="s">
        <v>2451</v>
      </c>
      <c r="F622" s="8" t="s">
        <v>2451</v>
      </c>
      <c r="G622" s="8" t="s">
        <v>2451</v>
      </c>
    </row>
    <row r="623" spans="1:7" outlineLevel="2" x14ac:dyDescent="0.35">
      <c r="A623" s="8" t="s">
        <v>2451</v>
      </c>
      <c r="B623" s="8" t="s">
        <v>2451</v>
      </c>
      <c r="C623" s="8"/>
      <c r="D623" s="8" t="s">
        <v>1140</v>
      </c>
      <c r="E623" s="8" t="s">
        <v>2451</v>
      </c>
      <c r="F623" s="8" t="s">
        <v>2451</v>
      </c>
      <c r="G623" s="8" t="s">
        <v>2451</v>
      </c>
    </row>
    <row r="624" spans="1:7" outlineLevel="2" x14ac:dyDescent="0.35">
      <c r="A624" s="8" t="s">
        <v>2451</v>
      </c>
      <c r="B624" s="8" t="s">
        <v>2451</v>
      </c>
      <c r="C624" s="8"/>
      <c r="D624" s="8" t="s">
        <v>1141</v>
      </c>
      <c r="E624" s="8" t="s">
        <v>2451</v>
      </c>
      <c r="F624" s="8" t="s">
        <v>2451</v>
      </c>
      <c r="G624" s="8" t="s">
        <v>2451</v>
      </c>
    </row>
    <row r="625" spans="1:7" outlineLevel="2" x14ac:dyDescent="0.35">
      <c r="A625" s="8" t="s">
        <v>2451</v>
      </c>
      <c r="B625" s="8" t="s">
        <v>2451</v>
      </c>
      <c r="C625" s="8"/>
      <c r="D625" s="8" t="s">
        <v>1142</v>
      </c>
      <c r="E625" s="8" t="s">
        <v>2451</v>
      </c>
      <c r="F625" s="8" t="s">
        <v>2451</v>
      </c>
      <c r="G625" s="8" t="s">
        <v>2451</v>
      </c>
    </row>
    <row r="626" spans="1:7" outlineLevel="2" x14ac:dyDescent="0.35">
      <c r="A626" s="8" t="s">
        <v>2451</v>
      </c>
      <c r="B626" s="8" t="s">
        <v>2451</v>
      </c>
      <c r="C626" s="8"/>
      <c r="D626" s="8" t="s">
        <v>1143</v>
      </c>
      <c r="E626" s="8" t="s">
        <v>2451</v>
      </c>
      <c r="F626" s="8" t="s">
        <v>2451</v>
      </c>
      <c r="G626" s="8" t="s">
        <v>2451</v>
      </c>
    </row>
    <row r="627" spans="1:7" outlineLevel="1" x14ac:dyDescent="0.35">
      <c r="A627" s="8" t="s">
        <v>124</v>
      </c>
      <c r="B627" s="8" t="s">
        <v>142</v>
      </c>
      <c r="C627" s="8">
        <v>8</v>
      </c>
      <c r="D627" s="8" t="s">
        <v>2451</v>
      </c>
      <c r="E627" s="8" t="s">
        <v>2451</v>
      </c>
      <c r="F627" s="8" t="s">
        <v>2451</v>
      </c>
      <c r="G627" s="8" t="s">
        <v>2451</v>
      </c>
    </row>
    <row r="628" spans="1:7" outlineLevel="2" x14ac:dyDescent="0.35">
      <c r="A628" s="8" t="s">
        <v>2451</v>
      </c>
      <c r="B628" s="8" t="s">
        <v>2451</v>
      </c>
      <c r="C628" s="8"/>
      <c r="D628" s="8" t="s">
        <v>1128</v>
      </c>
      <c r="E628" s="8" t="s">
        <v>2451</v>
      </c>
      <c r="F628" s="8" t="s">
        <v>2451</v>
      </c>
      <c r="G628" s="8" t="s">
        <v>2451</v>
      </c>
    </row>
    <row r="629" spans="1:7" outlineLevel="2" x14ac:dyDescent="0.35">
      <c r="A629" s="8" t="s">
        <v>2451</v>
      </c>
      <c r="B629" s="8" t="s">
        <v>2451</v>
      </c>
      <c r="C629" s="8"/>
      <c r="D629" s="8" t="s">
        <v>1129</v>
      </c>
      <c r="E629" s="8" t="s">
        <v>2451</v>
      </c>
      <c r="F629" s="8" t="s">
        <v>2451</v>
      </c>
      <c r="G629" s="8" t="s">
        <v>2451</v>
      </c>
    </row>
    <row r="630" spans="1:7" outlineLevel="2" x14ac:dyDescent="0.35">
      <c r="A630" s="8" t="s">
        <v>2451</v>
      </c>
      <c r="B630" s="8" t="s">
        <v>2451</v>
      </c>
      <c r="C630" s="8"/>
      <c r="D630" s="8" t="s">
        <v>1130</v>
      </c>
      <c r="E630" s="8" t="s">
        <v>2451</v>
      </c>
      <c r="F630" s="8" t="s">
        <v>2451</v>
      </c>
      <c r="G630" s="8" t="s">
        <v>2451</v>
      </c>
    </row>
    <row r="631" spans="1:7" outlineLevel="2" x14ac:dyDescent="0.35">
      <c r="A631" s="8" t="s">
        <v>2451</v>
      </c>
      <c r="B631" s="8" t="s">
        <v>2451</v>
      </c>
      <c r="C631" s="8"/>
      <c r="D631" s="8" t="s">
        <v>1131</v>
      </c>
      <c r="E631" s="8" t="s">
        <v>2451</v>
      </c>
      <c r="F631" s="8" t="s">
        <v>2451</v>
      </c>
      <c r="G631" s="8" t="s">
        <v>2451</v>
      </c>
    </row>
    <row r="632" spans="1:7" outlineLevel="2" x14ac:dyDescent="0.35">
      <c r="A632" s="8" t="s">
        <v>2451</v>
      </c>
      <c r="B632" s="8" t="s">
        <v>2451</v>
      </c>
      <c r="C632" s="8"/>
      <c r="D632" s="8" t="s">
        <v>1132</v>
      </c>
      <c r="E632" s="8" t="s">
        <v>2451</v>
      </c>
      <c r="F632" s="8" t="s">
        <v>2451</v>
      </c>
      <c r="G632" s="8" t="s">
        <v>2451</v>
      </c>
    </row>
    <row r="633" spans="1:7" outlineLevel="2" x14ac:dyDescent="0.35">
      <c r="A633" s="8" t="s">
        <v>2451</v>
      </c>
      <c r="B633" s="8" t="s">
        <v>2451</v>
      </c>
      <c r="C633" s="8"/>
      <c r="D633" s="8" t="s">
        <v>1133</v>
      </c>
      <c r="E633" s="8" t="s">
        <v>2451</v>
      </c>
      <c r="F633" s="8" t="s">
        <v>2451</v>
      </c>
      <c r="G633" s="8" t="s">
        <v>2451</v>
      </c>
    </row>
    <row r="634" spans="1:7" outlineLevel="2" x14ac:dyDescent="0.35">
      <c r="A634" s="8" t="s">
        <v>2451</v>
      </c>
      <c r="B634" s="8" t="s">
        <v>2451</v>
      </c>
      <c r="C634" s="8"/>
      <c r="D634" s="8" t="s">
        <v>1134</v>
      </c>
      <c r="E634" s="8" t="s">
        <v>2451</v>
      </c>
      <c r="F634" s="8" t="s">
        <v>2451</v>
      </c>
      <c r="G634" s="8" t="s">
        <v>2451</v>
      </c>
    </row>
    <row r="635" spans="1:7" outlineLevel="2" x14ac:dyDescent="0.35">
      <c r="A635" s="8" t="s">
        <v>2451</v>
      </c>
      <c r="B635" s="8" t="s">
        <v>2451</v>
      </c>
      <c r="C635" s="8"/>
      <c r="D635" s="8" t="s">
        <v>1135</v>
      </c>
      <c r="E635" s="8" t="s">
        <v>2451</v>
      </c>
      <c r="F635" s="8" t="s">
        <v>2451</v>
      </c>
      <c r="G635" s="8" t="s">
        <v>2451</v>
      </c>
    </row>
    <row r="636" spans="1:7" outlineLevel="1" x14ac:dyDescent="0.35">
      <c r="A636" s="8" t="s">
        <v>124</v>
      </c>
      <c r="B636" s="8" t="s">
        <v>147</v>
      </c>
      <c r="C636" s="8">
        <v>10</v>
      </c>
      <c r="D636" s="8" t="s">
        <v>2451</v>
      </c>
      <c r="E636" s="8" t="s">
        <v>2451</v>
      </c>
      <c r="F636" s="8" t="s">
        <v>2451</v>
      </c>
      <c r="G636" s="8" t="s">
        <v>2451</v>
      </c>
    </row>
    <row r="637" spans="1:7" outlineLevel="2" x14ac:dyDescent="0.35">
      <c r="A637" s="8" t="s">
        <v>2451</v>
      </c>
      <c r="B637" s="8" t="s">
        <v>2451</v>
      </c>
      <c r="C637" s="8"/>
      <c r="D637" s="8" t="s">
        <v>1118</v>
      </c>
      <c r="E637" s="8" t="s">
        <v>2451</v>
      </c>
      <c r="F637" s="8" t="s">
        <v>2451</v>
      </c>
      <c r="G637" s="8" t="s">
        <v>2451</v>
      </c>
    </row>
    <row r="638" spans="1:7" outlineLevel="2" x14ac:dyDescent="0.35">
      <c r="A638" s="8" t="s">
        <v>2451</v>
      </c>
      <c r="B638" s="8" t="s">
        <v>2451</v>
      </c>
      <c r="C638" s="8"/>
      <c r="D638" s="8" t="s">
        <v>1119</v>
      </c>
      <c r="E638" s="8" t="s">
        <v>2451</v>
      </c>
      <c r="F638" s="8" t="s">
        <v>2451</v>
      </c>
      <c r="G638" s="8" t="s">
        <v>2451</v>
      </c>
    </row>
    <row r="639" spans="1:7" outlineLevel="2" x14ac:dyDescent="0.35">
      <c r="A639" s="8" t="s">
        <v>2451</v>
      </c>
      <c r="B639" s="8" t="s">
        <v>2451</v>
      </c>
      <c r="C639" s="8"/>
      <c r="D639" s="8" t="s">
        <v>1120</v>
      </c>
      <c r="E639" s="8" t="s">
        <v>2451</v>
      </c>
      <c r="F639" s="8" t="s">
        <v>2451</v>
      </c>
      <c r="G639" s="8" t="s">
        <v>2451</v>
      </c>
    </row>
    <row r="640" spans="1:7" outlineLevel="2" x14ac:dyDescent="0.35">
      <c r="A640" s="8" t="s">
        <v>2451</v>
      </c>
      <c r="B640" s="8" t="s">
        <v>2451</v>
      </c>
      <c r="C640" s="8"/>
      <c r="D640" s="8" t="s">
        <v>1121</v>
      </c>
      <c r="E640" s="8" t="s">
        <v>2451</v>
      </c>
      <c r="F640" s="8" t="s">
        <v>2451</v>
      </c>
      <c r="G640" s="8" t="s">
        <v>2451</v>
      </c>
    </row>
    <row r="641" spans="1:7" outlineLevel="2" x14ac:dyDescent="0.35">
      <c r="A641" s="8" t="s">
        <v>2451</v>
      </c>
      <c r="B641" s="8" t="s">
        <v>2451</v>
      </c>
      <c r="C641" s="8"/>
      <c r="D641" s="8" t="s">
        <v>1122</v>
      </c>
      <c r="E641" s="8" t="s">
        <v>2451</v>
      </c>
      <c r="F641" s="8" t="s">
        <v>2451</v>
      </c>
      <c r="G641" s="8" t="s">
        <v>2451</v>
      </c>
    </row>
    <row r="642" spans="1:7" outlineLevel="2" x14ac:dyDescent="0.35">
      <c r="A642" s="8" t="s">
        <v>2451</v>
      </c>
      <c r="B642" s="8" t="s">
        <v>2451</v>
      </c>
      <c r="C642" s="8"/>
      <c r="D642" s="8" t="s">
        <v>1123</v>
      </c>
      <c r="E642" s="8" t="s">
        <v>2451</v>
      </c>
      <c r="F642" s="8" t="s">
        <v>2451</v>
      </c>
      <c r="G642" s="8" t="s">
        <v>2451</v>
      </c>
    </row>
    <row r="643" spans="1:7" outlineLevel="2" x14ac:dyDescent="0.35">
      <c r="A643" s="8" t="s">
        <v>2451</v>
      </c>
      <c r="B643" s="8" t="s">
        <v>2451</v>
      </c>
      <c r="C643" s="8"/>
      <c r="D643" s="8" t="s">
        <v>1124</v>
      </c>
      <c r="E643" s="8" t="s">
        <v>2451</v>
      </c>
      <c r="F643" s="8" t="s">
        <v>2451</v>
      </c>
      <c r="G643" s="8" t="s">
        <v>2451</v>
      </c>
    </row>
    <row r="644" spans="1:7" outlineLevel="2" x14ac:dyDescent="0.35">
      <c r="A644" s="8" t="s">
        <v>2451</v>
      </c>
      <c r="B644" s="8" t="s">
        <v>2451</v>
      </c>
      <c r="C644" s="8"/>
      <c r="D644" s="8" t="s">
        <v>1125</v>
      </c>
      <c r="E644" s="8" t="s">
        <v>2451</v>
      </c>
      <c r="F644" s="8" t="s">
        <v>2451</v>
      </c>
      <c r="G644" s="8" t="s">
        <v>2451</v>
      </c>
    </row>
    <row r="645" spans="1:7" outlineLevel="2" x14ac:dyDescent="0.35">
      <c r="A645" s="8" t="s">
        <v>2451</v>
      </c>
      <c r="B645" s="8" t="s">
        <v>2451</v>
      </c>
      <c r="C645" s="8"/>
      <c r="D645" s="8" t="s">
        <v>1126</v>
      </c>
      <c r="E645" s="8" t="s">
        <v>2451</v>
      </c>
      <c r="F645" s="8" t="s">
        <v>2451</v>
      </c>
      <c r="G645" s="8" t="s">
        <v>2451</v>
      </c>
    </row>
    <row r="646" spans="1:7" outlineLevel="2" x14ac:dyDescent="0.35">
      <c r="A646" s="8" t="s">
        <v>2451</v>
      </c>
      <c r="B646" s="8" t="s">
        <v>2451</v>
      </c>
      <c r="C646" s="8"/>
      <c r="D646" s="8" t="s">
        <v>1127</v>
      </c>
      <c r="E646" s="8" t="s">
        <v>2451</v>
      </c>
      <c r="F646" s="8" t="s">
        <v>2451</v>
      </c>
      <c r="G646" s="8" t="s">
        <v>2451</v>
      </c>
    </row>
    <row r="647" spans="1:7" outlineLevel="1" x14ac:dyDescent="0.35">
      <c r="A647" s="8" t="s">
        <v>124</v>
      </c>
      <c r="B647" s="8" t="s">
        <v>153</v>
      </c>
      <c r="C647" s="8">
        <v>4</v>
      </c>
      <c r="D647" s="8" t="s">
        <v>2451</v>
      </c>
      <c r="E647" s="8" t="s">
        <v>2451</v>
      </c>
      <c r="F647" s="8" t="s">
        <v>2451</v>
      </c>
      <c r="G647" s="8" t="s">
        <v>2451</v>
      </c>
    </row>
    <row r="648" spans="1:7" outlineLevel="2" x14ac:dyDescent="0.35">
      <c r="A648" s="8" t="s">
        <v>2451</v>
      </c>
      <c r="B648" s="8" t="s">
        <v>2451</v>
      </c>
      <c r="C648" s="8"/>
      <c r="D648" s="8" t="s">
        <v>1114</v>
      </c>
      <c r="E648" s="8" t="s">
        <v>2451</v>
      </c>
      <c r="F648" s="8" t="s">
        <v>2451</v>
      </c>
      <c r="G648" s="8" t="s">
        <v>2451</v>
      </c>
    </row>
    <row r="649" spans="1:7" outlineLevel="2" x14ac:dyDescent="0.35">
      <c r="A649" s="8" t="s">
        <v>2451</v>
      </c>
      <c r="B649" s="8" t="s">
        <v>2451</v>
      </c>
      <c r="C649" s="8"/>
      <c r="D649" s="8" t="s">
        <v>1115</v>
      </c>
      <c r="E649" s="8" t="s">
        <v>2451</v>
      </c>
      <c r="F649" s="8" t="s">
        <v>2451</v>
      </c>
      <c r="G649" s="8" t="s">
        <v>2451</v>
      </c>
    </row>
    <row r="650" spans="1:7" outlineLevel="2" x14ac:dyDescent="0.35">
      <c r="A650" s="8" t="s">
        <v>2451</v>
      </c>
      <c r="B650" s="8" t="s">
        <v>2451</v>
      </c>
      <c r="C650" s="8"/>
      <c r="D650" s="8" t="s">
        <v>1116</v>
      </c>
      <c r="E650" s="8" t="s">
        <v>2451</v>
      </c>
      <c r="F650" s="8" t="s">
        <v>2451</v>
      </c>
      <c r="G650" s="8" t="s">
        <v>2451</v>
      </c>
    </row>
    <row r="651" spans="1:7" outlineLevel="2" x14ac:dyDescent="0.35">
      <c r="A651" s="8" t="s">
        <v>2451</v>
      </c>
      <c r="B651" s="8" t="s">
        <v>2451</v>
      </c>
      <c r="C651" s="8"/>
      <c r="D651" s="8" t="s">
        <v>1117</v>
      </c>
      <c r="E651" s="8" t="s">
        <v>2451</v>
      </c>
      <c r="F651" s="8" t="s">
        <v>2451</v>
      </c>
      <c r="G651" s="8" t="s">
        <v>2451</v>
      </c>
    </row>
    <row r="652" spans="1:7" outlineLevel="1" x14ac:dyDescent="0.35">
      <c r="A652" s="8" t="s">
        <v>124</v>
      </c>
      <c r="B652" s="8" t="s">
        <v>159</v>
      </c>
      <c r="C652" s="8">
        <v>6</v>
      </c>
      <c r="D652" s="8" t="s">
        <v>2451</v>
      </c>
      <c r="E652" s="8" t="s">
        <v>2451</v>
      </c>
      <c r="F652" s="8" t="s">
        <v>2451</v>
      </c>
      <c r="G652" s="8" t="s">
        <v>2451</v>
      </c>
    </row>
    <row r="653" spans="1:7" outlineLevel="2" x14ac:dyDescent="0.35">
      <c r="A653" s="8" t="s">
        <v>2451</v>
      </c>
      <c r="B653" s="8" t="s">
        <v>2451</v>
      </c>
      <c r="C653" s="8"/>
      <c r="D653" s="8" t="s">
        <v>1108</v>
      </c>
      <c r="E653" s="8" t="s">
        <v>2451</v>
      </c>
      <c r="F653" s="8" t="s">
        <v>2451</v>
      </c>
      <c r="G653" s="8" t="s">
        <v>2451</v>
      </c>
    </row>
    <row r="654" spans="1:7" outlineLevel="2" x14ac:dyDescent="0.35">
      <c r="A654" s="8" t="s">
        <v>2451</v>
      </c>
      <c r="B654" s="8" t="s">
        <v>2451</v>
      </c>
      <c r="C654" s="8"/>
      <c r="D654" s="8" t="s">
        <v>1109</v>
      </c>
      <c r="E654" s="8" t="s">
        <v>2451</v>
      </c>
      <c r="F654" s="8" t="s">
        <v>2451</v>
      </c>
      <c r="G654" s="8" t="s">
        <v>2451</v>
      </c>
    </row>
    <row r="655" spans="1:7" outlineLevel="2" x14ac:dyDescent="0.35">
      <c r="A655" s="8" t="s">
        <v>2451</v>
      </c>
      <c r="B655" s="8" t="s">
        <v>2451</v>
      </c>
      <c r="C655" s="8"/>
      <c r="D655" s="8" t="s">
        <v>1110</v>
      </c>
      <c r="E655" s="8" t="s">
        <v>2451</v>
      </c>
      <c r="F655" s="8" t="s">
        <v>2451</v>
      </c>
      <c r="G655" s="8" t="s">
        <v>2451</v>
      </c>
    </row>
    <row r="656" spans="1:7" outlineLevel="2" x14ac:dyDescent="0.35">
      <c r="A656" s="8" t="s">
        <v>2451</v>
      </c>
      <c r="B656" s="8" t="s">
        <v>2451</v>
      </c>
      <c r="C656" s="8"/>
      <c r="D656" s="8" t="s">
        <v>1111</v>
      </c>
      <c r="E656" s="8" t="s">
        <v>2451</v>
      </c>
      <c r="F656" s="8" t="s">
        <v>2451</v>
      </c>
      <c r="G656" s="8" t="s">
        <v>2451</v>
      </c>
    </row>
    <row r="657" spans="1:7" outlineLevel="2" x14ac:dyDescent="0.35">
      <c r="A657" s="8" t="s">
        <v>2451</v>
      </c>
      <c r="B657" s="8" t="s">
        <v>2451</v>
      </c>
      <c r="C657" s="8"/>
      <c r="D657" s="8" t="s">
        <v>1112</v>
      </c>
      <c r="E657" s="8" t="s">
        <v>2451</v>
      </c>
      <c r="F657" s="8" t="s">
        <v>2451</v>
      </c>
      <c r="G657" s="8" t="s">
        <v>2451</v>
      </c>
    </row>
    <row r="658" spans="1:7" outlineLevel="2" x14ac:dyDescent="0.35">
      <c r="A658" s="8" t="s">
        <v>2451</v>
      </c>
      <c r="B658" s="8" t="s">
        <v>2451</v>
      </c>
      <c r="C658" s="8"/>
      <c r="D658" s="8" t="s">
        <v>1113</v>
      </c>
      <c r="E658" s="8" t="s">
        <v>2451</v>
      </c>
      <c r="F658" s="8" t="s">
        <v>2451</v>
      </c>
      <c r="G658" s="8" t="s">
        <v>2451</v>
      </c>
    </row>
    <row r="659" spans="1:7" outlineLevel="1" x14ac:dyDescent="0.35">
      <c r="A659" s="8" t="s">
        <v>124</v>
      </c>
      <c r="B659" s="8" t="s">
        <v>164</v>
      </c>
      <c r="C659" s="8">
        <v>4</v>
      </c>
      <c r="D659" s="8" t="s">
        <v>2451</v>
      </c>
      <c r="E659" s="8" t="s">
        <v>2451</v>
      </c>
      <c r="F659" s="8" t="s">
        <v>2451</v>
      </c>
      <c r="G659" s="8" t="s">
        <v>2451</v>
      </c>
    </row>
    <row r="660" spans="1:7" outlineLevel="2" x14ac:dyDescent="0.35">
      <c r="A660" s="8" t="s">
        <v>2451</v>
      </c>
      <c r="B660" s="8" t="s">
        <v>2451</v>
      </c>
      <c r="C660" s="8"/>
      <c r="D660" s="8" t="s">
        <v>1104</v>
      </c>
      <c r="E660" s="8" t="s">
        <v>2451</v>
      </c>
      <c r="F660" s="8" t="s">
        <v>2451</v>
      </c>
      <c r="G660" s="8" t="s">
        <v>2451</v>
      </c>
    </row>
    <row r="661" spans="1:7" outlineLevel="2" x14ac:dyDescent="0.35">
      <c r="A661" s="8" t="s">
        <v>2451</v>
      </c>
      <c r="B661" s="8" t="s">
        <v>2451</v>
      </c>
      <c r="C661" s="8"/>
      <c r="D661" s="8" t="s">
        <v>1105</v>
      </c>
      <c r="E661" s="8" t="s">
        <v>2451</v>
      </c>
      <c r="F661" s="8" t="s">
        <v>2451</v>
      </c>
      <c r="G661" s="8" t="s">
        <v>2451</v>
      </c>
    </row>
    <row r="662" spans="1:7" outlineLevel="2" x14ac:dyDescent="0.35">
      <c r="A662" s="8" t="s">
        <v>2451</v>
      </c>
      <c r="B662" s="8" t="s">
        <v>2451</v>
      </c>
      <c r="C662" s="8"/>
      <c r="D662" s="8" t="s">
        <v>1106</v>
      </c>
      <c r="E662" s="8" t="s">
        <v>2451</v>
      </c>
      <c r="F662" s="8" t="s">
        <v>2451</v>
      </c>
      <c r="G662" s="8" t="s">
        <v>2451</v>
      </c>
    </row>
    <row r="663" spans="1:7" outlineLevel="2" x14ac:dyDescent="0.35">
      <c r="A663" s="8" t="s">
        <v>2451</v>
      </c>
      <c r="B663" s="8" t="s">
        <v>2451</v>
      </c>
      <c r="C663" s="8"/>
      <c r="D663" s="8" t="s">
        <v>1107</v>
      </c>
      <c r="E663" s="8" t="s">
        <v>2451</v>
      </c>
      <c r="F663" s="8" t="s">
        <v>2451</v>
      </c>
      <c r="G663" s="8" t="s">
        <v>2451</v>
      </c>
    </row>
    <row r="664" spans="1:7" outlineLevel="1" x14ac:dyDescent="0.35">
      <c r="A664" s="8" t="s">
        <v>124</v>
      </c>
      <c r="B664" s="8" t="s">
        <v>168</v>
      </c>
      <c r="C664" s="8">
        <v>10</v>
      </c>
      <c r="D664" s="8" t="s">
        <v>2451</v>
      </c>
      <c r="E664" s="8" t="s">
        <v>2451</v>
      </c>
      <c r="F664" s="8" t="s">
        <v>2451</v>
      </c>
      <c r="G664" s="8" t="s">
        <v>2451</v>
      </c>
    </row>
    <row r="665" spans="1:7" outlineLevel="2" x14ac:dyDescent="0.35">
      <c r="A665" s="8" t="s">
        <v>2451</v>
      </c>
      <c r="B665" s="8" t="s">
        <v>2451</v>
      </c>
      <c r="C665" s="8"/>
      <c r="D665" s="8" t="s">
        <v>1094</v>
      </c>
      <c r="E665" s="8" t="s">
        <v>2451</v>
      </c>
      <c r="F665" s="8" t="s">
        <v>2451</v>
      </c>
      <c r="G665" s="8" t="s">
        <v>2451</v>
      </c>
    </row>
    <row r="666" spans="1:7" outlineLevel="2" x14ac:dyDescent="0.35">
      <c r="A666" s="8" t="s">
        <v>2451</v>
      </c>
      <c r="B666" s="8" t="s">
        <v>2451</v>
      </c>
      <c r="C666" s="8"/>
      <c r="D666" s="8" t="s">
        <v>1095</v>
      </c>
      <c r="E666" s="8" t="s">
        <v>2451</v>
      </c>
      <c r="F666" s="8" t="s">
        <v>2451</v>
      </c>
      <c r="G666" s="8" t="s">
        <v>2451</v>
      </c>
    </row>
    <row r="667" spans="1:7" outlineLevel="2" x14ac:dyDescent="0.35">
      <c r="A667" s="8" t="s">
        <v>2451</v>
      </c>
      <c r="B667" s="8" t="s">
        <v>2451</v>
      </c>
      <c r="C667" s="8"/>
      <c r="D667" s="8" t="s">
        <v>1096</v>
      </c>
      <c r="E667" s="8" t="s">
        <v>2451</v>
      </c>
      <c r="F667" s="8" t="s">
        <v>2451</v>
      </c>
      <c r="G667" s="8" t="s">
        <v>2451</v>
      </c>
    </row>
    <row r="668" spans="1:7" outlineLevel="2" x14ac:dyDescent="0.35">
      <c r="A668" s="8" t="s">
        <v>2451</v>
      </c>
      <c r="B668" s="8" t="s">
        <v>2451</v>
      </c>
      <c r="C668" s="8"/>
      <c r="D668" s="8" t="s">
        <v>1097</v>
      </c>
      <c r="E668" s="8" t="s">
        <v>2451</v>
      </c>
      <c r="F668" s="8" t="s">
        <v>2451</v>
      </c>
      <c r="G668" s="8" t="s">
        <v>2451</v>
      </c>
    </row>
    <row r="669" spans="1:7" outlineLevel="2" x14ac:dyDescent="0.35">
      <c r="A669" s="8" t="s">
        <v>2451</v>
      </c>
      <c r="B669" s="8" t="s">
        <v>2451</v>
      </c>
      <c r="C669" s="8"/>
      <c r="D669" s="8" t="s">
        <v>1098</v>
      </c>
      <c r="E669" s="8" t="s">
        <v>2451</v>
      </c>
      <c r="F669" s="8" t="s">
        <v>2451</v>
      </c>
      <c r="G669" s="8" t="s">
        <v>2451</v>
      </c>
    </row>
    <row r="670" spans="1:7" outlineLevel="2" x14ac:dyDescent="0.35">
      <c r="A670" s="8" t="s">
        <v>2451</v>
      </c>
      <c r="B670" s="8" t="s">
        <v>2451</v>
      </c>
      <c r="C670" s="8"/>
      <c r="D670" s="8" t="s">
        <v>1099</v>
      </c>
      <c r="E670" s="8" t="s">
        <v>2451</v>
      </c>
      <c r="F670" s="8" t="s">
        <v>2451</v>
      </c>
      <c r="G670" s="8" t="s">
        <v>2451</v>
      </c>
    </row>
    <row r="671" spans="1:7" outlineLevel="2" x14ac:dyDescent="0.35">
      <c r="A671" s="8" t="s">
        <v>2451</v>
      </c>
      <c r="B671" s="8" t="s">
        <v>2451</v>
      </c>
      <c r="C671" s="8"/>
      <c r="D671" s="8" t="s">
        <v>1100</v>
      </c>
      <c r="E671" s="8" t="s">
        <v>2451</v>
      </c>
      <c r="F671" s="8" t="s">
        <v>2451</v>
      </c>
      <c r="G671" s="8" t="s">
        <v>2451</v>
      </c>
    </row>
    <row r="672" spans="1:7" outlineLevel="2" x14ac:dyDescent="0.35">
      <c r="A672" s="8" t="s">
        <v>2451</v>
      </c>
      <c r="B672" s="8" t="s">
        <v>2451</v>
      </c>
      <c r="C672" s="8"/>
      <c r="D672" s="8" t="s">
        <v>1101</v>
      </c>
      <c r="E672" s="8" t="s">
        <v>2451</v>
      </c>
      <c r="F672" s="8" t="s">
        <v>2451</v>
      </c>
      <c r="G672" s="8" t="s">
        <v>2451</v>
      </c>
    </row>
    <row r="673" spans="1:7" outlineLevel="2" x14ac:dyDescent="0.35">
      <c r="A673" s="8" t="s">
        <v>2451</v>
      </c>
      <c r="B673" s="8" t="s">
        <v>2451</v>
      </c>
      <c r="C673" s="8"/>
      <c r="D673" s="8" t="s">
        <v>1102</v>
      </c>
      <c r="E673" s="8" t="s">
        <v>2451</v>
      </c>
      <c r="F673" s="8" t="s">
        <v>2451</v>
      </c>
      <c r="G673" s="8" t="s">
        <v>2451</v>
      </c>
    </row>
    <row r="674" spans="1:7" outlineLevel="2" x14ac:dyDescent="0.35">
      <c r="A674" s="8" t="s">
        <v>2451</v>
      </c>
      <c r="B674" s="8" t="s">
        <v>2451</v>
      </c>
      <c r="C674" s="8"/>
      <c r="D674" s="8" t="s">
        <v>1103</v>
      </c>
      <c r="E674" s="8" t="s">
        <v>2451</v>
      </c>
      <c r="F674" s="8" t="s">
        <v>2451</v>
      </c>
      <c r="G674" s="8" t="s">
        <v>2451</v>
      </c>
    </row>
    <row r="675" spans="1:7" outlineLevel="1" x14ac:dyDescent="0.35">
      <c r="A675" s="8" t="s">
        <v>124</v>
      </c>
      <c r="B675" s="8" t="s">
        <v>173</v>
      </c>
      <c r="C675" s="8">
        <v>11</v>
      </c>
      <c r="D675" s="8" t="s">
        <v>2451</v>
      </c>
      <c r="E675" s="8" t="s">
        <v>2451</v>
      </c>
      <c r="F675" s="8" t="s">
        <v>2451</v>
      </c>
      <c r="G675" s="8" t="s">
        <v>2451</v>
      </c>
    </row>
    <row r="676" spans="1:7" outlineLevel="2" x14ac:dyDescent="0.35">
      <c r="A676" s="8" t="s">
        <v>2451</v>
      </c>
      <c r="B676" s="8" t="s">
        <v>2451</v>
      </c>
      <c r="C676" s="8"/>
      <c r="D676" s="8" t="s">
        <v>1083</v>
      </c>
      <c r="E676" s="8" t="s">
        <v>2451</v>
      </c>
      <c r="F676" s="8" t="s">
        <v>2451</v>
      </c>
      <c r="G676" s="8" t="s">
        <v>2451</v>
      </c>
    </row>
    <row r="677" spans="1:7" outlineLevel="2" x14ac:dyDescent="0.35">
      <c r="A677" s="8" t="s">
        <v>2451</v>
      </c>
      <c r="B677" s="8" t="s">
        <v>2451</v>
      </c>
      <c r="C677" s="8"/>
      <c r="D677" s="8" t="s">
        <v>1084</v>
      </c>
      <c r="E677" s="8" t="s">
        <v>2451</v>
      </c>
      <c r="F677" s="8" t="s">
        <v>2451</v>
      </c>
      <c r="G677" s="8" t="s">
        <v>2451</v>
      </c>
    </row>
    <row r="678" spans="1:7" outlineLevel="2" x14ac:dyDescent="0.35">
      <c r="A678" s="8" t="s">
        <v>2451</v>
      </c>
      <c r="B678" s="8" t="s">
        <v>2451</v>
      </c>
      <c r="C678" s="8"/>
      <c r="D678" s="8" t="s">
        <v>1085</v>
      </c>
      <c r="E678" s="8" t="s">
        <v>2451</v>
      </c>
      <c r="F678" s="8" t="s">
        <v>2451</v>
      </c>
      <c r="G678" s="8" t="s">
        <v>2451</v>
      </c>
    </row>
    <row r="679" spans="1:7" outlineLevel="2" x14ac:dyDescent="0.35">
      <c r="A679" s="8" t="s">
        <v>2451</v>
      </c>
      <c r="B679" s="8" t="s">
        <v>2451</v>
      </c>
      <c r="C679" s="8"/>
      <c r="D679" s="8" t="s">
        <v>1086</v>
      </c>
      <c r="E679" s="8" t="s">
        <v>2451</v>
      </c>
      <c r="F679" s="8" t="s">
        <v>2451</v>
      </c>
      <c r="G679" s="8" t="s">
        <v>2451</v>
      </c>
    </row>
    <row r="680" spans="1:7" outlineLevel="2" x14ac:dyDescent="0.35">
      <c r="A680" s="8" t="s">
        <v>2451</v>
      </c>
      <c r="B680" s="8" t="s">
        <v>2451</v>
      </c>
      <c r="C680" s="8"/>
      <c r="D680" s="8" t="s">
        <v>1087</v>
      </c>
      <c r="E680" s="8" t="s">
        <v>2451</v>
      </c>
      <c r="F680" s="8" t="s">
        <v>2451</v>
      </c>
      <c r="G680" s="8" t="s">
        <v>2451</v>
      </c>
    </row>
    <row r="681" spans="1:7" outlineLevel="2" x14ac:dyDescent="0.35">
      <c r="A681" s="8" t="s">
        <v>2451</v>
      </c>
      <c r="B681" s="8" t="s">
        <v>2451</v>
      </c>
      <c r="C681" s="8"/>
      <c r="D681" s="8" t="s">
        <v>1088</v>
      </c>
      <c r="E681" s="8" t="s">
        <v>2451</v>
      </c>
      <c r="F681" s="8" t="s">
        <v>2451</v>
      </c>
      <c r="G681" s="8" t="s">
        <v>2451</v>
      </c>
    </row>
    <row r="682" spans="1:7" outlineLevel="2" x14ac:dyDescent="0.35">
      <c r="A682" s="8" t="s">
        <v>2451</v>
      </c>
      <c r="B682" s="8" t="s">
        <v>2451</v>
      </c>
      <c r="C682" s="8"/>
      <c r="D682" s="8" t="s">
        <v>1089</v>
      </c>
      <c r="E682" s="8" t="s">
        <v>2451</v>
      </c>
      <c r="F682" s="8" t="s">
        <v>2451</v>
      </c>
      <c r="G682" s="8" t="s">
        <v>2451</v>
      </c>
    </row>
    <row r="683" spans="1:7" outlineLevel="2" x14ac:dyDescent="0.35">
      <c r="A683" s="8" t="s">
        <v>2451</v>
      </c>
      <c r="B683" s="8" t="s">
        <v>2451</v>
      </c>
      <c r="C683" s="8"/>
      <c r="D683" s="8" t="s">
        <v>1090</v>
      </c>
      <c r="E683" s="8" t="s">
        <v>2451</v>
      </c>
      <c r="F683" s="8" t="s">
        <v>2451</v>
      </c>
      <c r="G683" s="8" t="s">
        <v>2451</v>
      </c>
    </row>
    <row r="684" spans="1:7" outlineLevel="2" x14ac:dyDescent="0.35">
      <c r="A684" s="8" t="s">
        <v>2451</v>
      </c>
      <c r="B684" s="8" t="s">
        <v>2451</v>
      </c>
      <c r="C684" s="8"/>
      <c r="D684" s="8" t="s">
        <v>1091</v>
      </c>
      <c r="E684" s="8" t="s">
        <v>2451</v>
      </c>
      <c r="F684" s="8" t="s">
        <v>2451</v>
      </c>
      <c r="G684" s="8" t="s">
        <v>2451</v>
      </c>
    </row>
    <row r="685" spans="1:7" outlineLevel="2" x14ac:dyDescent="0.35">
      <c r="A685" s="8" t="s">
        <v>2451</v>
      </c>
      <c r="B685" s="8" t="s">
        <v>2451</v>
      </c>
      <c r="C685" s="8"/>
      <c r="D685" s="8" t="s">
        <v>1092</v>
      </c>
      <c r="E685" s="8" t="s">
        <v>2451</v>
      </c>
      <c r="F685" s="8" t="s">
        <v>2451</v>
      </c>
      <c r="G685" s="8" t="s">
        <v>2451</v>
      </c>
    </row>
    <row r="686" spans="1:7" outlineLevel="2" x14ac:dyDescent="0.35">
      <c r="A686" s="8" t="s">
        <v>2451</v>
      </c>
      <c r="B686" s="8" t="s">
        <v>2451</v>
      </c>
      <c r="C686" s="8"/>
      <c r="D686" s="8" t="s">
        <v>1093</v>
      </c>
      <c r="E686" s="8" t="s">
        <v>2451</v>
      </c>
      <c r="F686" s="8" t="s">
        <v>2451</v>
      </c>
      <c r="G686" s="8" t="s">
        <v>2451</v>
      </c>
    </row>
    <row r="687" spans="1:7" outlineLevel="1" x14ac:dyDescent="0.35">
      <c r="A687" s="8" t="s">
        <v>83</v>
      </c>
      <c r="B687" s="8" t="s">
        <v>178</v>
      </c>
      <c r="C687" s="8">
        <v>4</v>
      </c>
      <c r="D687" s="8" t="s">
        <v>2451</v>
      </c>
      <c r="E687" s="8" t="s">
        <v>2451</v>
      </c>
      <c r="F687" s="8" t="s">
        <v>2451</v>
      </c>
      <c r="G687" s="8" t="s">
        <v>2451</v>
      </c>
    </row>
    <row r="688" spans="1:7" outlineLevel="2" x14ac:dyDescent="0.35">
      <c r="A688" s="8" t="s">
        <v>2451</v>
      </c>
      <c r="B688" s="8" t="s">
        <v>2451</v>
      </c>
      <c r="C688" s="8"/>
      <c r="D688" s="8" t="s">
        <v>1079</v>
      </c>
      <c r="E688" s="8" t="s">
        <v>2451</v>
      </c>
      <c r="F688" s="8" t="s">
        <v>2451</v>
      </c>
      <c r="G688" s="8" t="s">
        <v>2451</v>
      </c>
    </row>
    <row r="689" spans="1:7" outlineLevel="2" x14ac:dyDescent="0.35">
      <c r="A689" s="8" t="s">
        <v>2451</v>
      </c>
      <c r="B689" s="8" t="s">
        <v>2451</v>
      </c>
      <c r="C689" s="8"/>
      <c r="D689" s="8" t="s">
        <v>1080</v>
      </c>
      <c r="E689" s="8" t="s">
        <v>2451</v>
      </c>
      <c r="F689" s="8" t="s">
        <v>2451</v>
      </c>
      <c r="G689" s="8" t="s">
        <v>2451</v>
      </c>
    </row>
    <row r="690" spans="1:7" outlineLevel="2" x14ac:dyDescent="0.35">
      <c r="A690" s="8" t="s">
        <v>2451</v>
      </c>
      <c r="B690" s="8" t="s">
        <v>2451</v>
      </c>
      <c r="C690" s="8"/>
      <c r="D690" s="8" t="s">
        <v>1081</v>
      </c>
      <c r="E690" s="8" t="s">
        <v>2451</v>
      </c>
      <c r="F690" s="8" t="s">
        <v>2451</v>
      </c>
      <c r="G690" s="8" t="s">
        <v>2451</v>
      </c>
    </row>
    <row r="691" spans="1:7" outlineLevel="2" x14ac:dyDescent="0.35">
      <c r="A691" s="8" t="s">
        <v>2451</v>
      </c>
      <c r="B691" s="8" t="s">
        <v>2451</v>
      </c>
      <c r="C691" s="8"/>
      <c r="D691" s="8" t="s">
        <v>1082</v>
      </c>
      <c r="E691" s="8" t="s">
        <v>2451</v>
      </c>
      <c r="F691" s="8" t="s">
        <v>2451</v>
      </c>
      <c r="G691" s="8" t="s">
        <v>2451</v>
      </c>
    </row>
    <row r="692" spans="1:7" outlineLevel="1" x14ac:dyDescent="0.35">
      <c r="A692" s="8" t="s">
        <v>83</v>
      </c>
      <c r="B692" s="8" t="s">
        <v>183</v>
      </c>
      <c r="C692" s="8">
        <v>6</v>
      </c>
      <c r="D692" s="8" t="s">
        <v>2451</v>
      </c>
      <c r="E692" s="8" t="s">
        <v>2451</v>
      </c>
      <c r="F692" s="8" t="s">
        <v>2451</v>
      </c>
      <c r="G692" s="8" t="s">
        <v>2451</v>
      </c>
    </row>
    <row r="693" spans="1:7" outlineLevel="2" x14ac:dyDescent="0.35">
      <c r="A693" s="8" t="s">
        <v>2451</v>
      </c>
      <c r="B693" s="8" t="s">
        <v>2451</v>
      </c>
      <c r="C693" s="8"/>
      <c r="D693" s="8" t="s">
        <v>1073</v>
      </c>
      <c r="E693" s="8" t="s">
        <v>2451</v>
      </c>
      <c r="F693" s="8" t="s">
        <v>2451</v>
      </c>
      <c r="G693" s="8" t="s">
        <v>2451</v>
      </c>
    </row>
    <row r="694" spans="1:7" outlineLevel="2" x14ac:dyDescent="0.35">
      <c r="A694" s="8" t="s">
        <v>2451</v>
      </c>
      <c r="B694" s="8" t="s">
        <v>2451</v>
      </c>
      <c r="C694" s="8"/>
      <c r="D694" s="8" t="s">
        <v>1074</v>
      </c>
      <c r="E694" s="8" t="s">
        <v>2451</v>
      </c>
      <c r="F694" s="8" t="s">
        <v>2451</v>
      </c>
      <c r="G694" s="8" t="s">
        <v>2451</v>
      </c>
    </row>
    <row r="695" spans="1:7" outlineLevel="2" x14ac:dyDescent="0.35">
      <c r="A695" s="8" t="s">
        <v>2451</v>
      </c>
      <c r="B695" s="8" t="s">
        <v>2451</v>
      </c>
      <c r="C695" s="8"/>
      <c r="D695" s="8" t="s">
        <v>1075</v>
      </c>
      <c r="E695" s="8" t="s">
        <v>2451</v>
      </c>
      <c r="F695" s="8" t="s">
        <v>2451</v>
      </c>
      <c r="G695" s="8" t="s">
        <v>2451</v>
      </c>
    </row>
    <row r="696" spans="1:7" outlineLevel="2" x14ac:dyDescent="0.35">
      <c r="A696" s="8" t="s">
        <v>2451</v>
      </c>
      <c r="B696" s="8" t="s">
        <v>2451</v>
      </c>
      <c r="C696" s="8"/>
      <c r="D696" s="8" t="s">
        <v>1076</v>
      </c>
      <c r="E696" s="8" t="s">
        <v>2451</v>
      </c>
      <c r="F696" s="8" t="s">
        <v>2451</v>
      </c>
      <c r="G696" s="8" t="s">
        <v>2451</v>
      </c>
    </row>
    <row r="697" spans="1:7" outlineLevel="2" x14ac:dyDescent="0.35">
      <c r="A697" s="8" t="s">
        <v>2451</v>
      </c>
      <c r="B697" s="8" t="s">
        <v>2451</v>
      </c>
      <c r="C697" s="8"/>
      <c r="D697" s="8" t="s">
        <v>1077</v>
      </c>
      <c r="E697" s="8" t="s">
        <v>2451</v>
      </c>
      <c r="F697" s="8" t="s">
        <v>2451</v>
      </c>
      <c r="G697" s="8" t="s">
        <v>2451</v>
      </c>
    </row>
    <row r="698" spans="1:7" outlineLevel="2" x14ac:dyDescent="0.35">
      <c r="A698" s="8" t="s">
        <v>2451</v>
      </c>
      <c r="B698" s="8" t="s">
        <v>2451</v>
      </c>
      <c r="C698" s="8"/>
      <c r="D698" s="8" t="s">
        <v>1078</v>
      </c>
      <c r="E698" s="8" t="s">
        <v>2451</v>
      </c>
      <c r="F698" s="8" t="s">
        <v>2451</v>
      </c>
      <c r="G698" s="8" t="s">
        <v>2451</v>
      </c>
    </row>
    <row r="699" spans="1:7" outlineLevel="1" x14ac:dyDescent="0.35">
      <c r="A699" s="8" t="s">
        <v>83</v>
      </c>
      <c r="B699" s="8" t="s">
        <v>188</v>
      </c>
      <c r="C699" s="8">
        <v>8</v>
      </c>
      <c r="D699" s="8" t="s">
        <v>2451</v>
      </c>
      <c r="E699" s="8" t="s">
        <v>2451</v>
      </c>
      <c r="F699" s="8" t="s">
        <v>2451</v>
      </c>
      <c r="G699" s="8" t="s">
        <v>2451</v>
      </c>
    </row>
    <row r="700" spans="1:7" outlineLevel="2" x14ac:dyDescent="0.35">
      <c r="A700" s="8" t="s">
        <v>2451</v>
      </c>
      <c r="B700" s="8" t="s">
        <v>2451</v>
      </c>
      <c r="C700" s="8"/>
      <c r="D700" s="8" t="s">
        <v>1065</v>
      </c>
      <c r="E700" s="8" t="s">
        <v>2451</v>
      </c>
      <c r="F700" s="8" t="s">
        <v>2451</v>
      </c>
      <c r="G700" s="8" t="s">
        <v>2451</v>
      </c>
    </row>
    <row r="701" spans="1:7" outlineLevel="2" x14ac:dyDescent="0.35">
      <c r="A701" s="8" t="s">
        <v>2451</v>
      </c>
      <c r="B701" s="8" t="s">
        <v>2451</v>
      </c>
      <c r="C701" s="8"/>
      <c r="D701" s="8" t="s">
        <v>1066</v>
      </c>
      <c r="E701" s="8" t="s">
        <v>2451</v>
      </c>
      <c r="F701" s="8" t="s">
        <v>2451</v>
      </c>
      <c r="G701" s="8" t="s">
        <v>2451</v>
      </c>
    </row>
    <row r="702" spans="1:7" outlineLevel="2" x14ac:dyDescent="0.35">
      <c r="A702" s="8" t="s">
        <v>2451</v>
      </c>
      <c r="B702" s="8" t="s">
        <v>2451</v>
      </c>
      <c r="C702" s="8"/>
      <c r="D702" s="8" t="s">
        <v>1067</v>
      </c>
      <c r="E702" s="8" t="s">
        <v>2451</v>
      </c>
      <c r="F702" s="8" t="s">
        <v>2451</v>
      </c>
      <c r="G702" s="8" t="s">
        <v>2451</v>
      </c>
    </row>
    <row r="703" spans="1:7" outlineLevel="2" x14ac:dyDescent="0.35">
      <c r="A703" s="8" t="s">
        <v>2451</v>
      </c>
      <c r="B703" s="8" t="s">
        <v>2451</v>
      </c>
      <c r="C703" s="8"/>
      <c r="D703" s="8" t="s">
        <v>1068</v>
      </c>
      <c r="E703" s="8" t="s">
        <v>2451</v>
      </c>
      <c r="F703" s="8" t="s">
        <v>2451</v>
      </c>
      <c r="G703" s="8" t="s">
        <v>2451</v>
      </c>
    </row>
    <row r="704" spans="1:7" outlineLevel="2" x14ac:dyDescent="0.35">
      <c r="A704" s="8" t="s">
        <v>2451</v>
      </c>
      <c r="B704" s="8" t="s">
        <v>2451</v>
      </c>
      <c r="C704" s="8"/>
      <c r="D704" s="8" t="s">
        <v>1069</v>
      </c>
      <c r="E704" s="8" t="s">
        <v>2451</v>
      </c>
      <c r="F704" s="8" t="s">
        <v>2451</v>
      </c>
      <c r="G704" s="8" t="s">
        <v>2451</v>
      </c>
    </row>
    <row r="705" spans="1:7" outlineLevel="2" x14ac:dyDescent="0.35">
      <c r="A705" s="8" t="s">
        <v>2451</v>
      </c>
      <c r="B705" s="8" t="s">
        <v>2451</v>
      </c>
      <c r="C705" s="8"/>
      <c r="D705" s="8" t="s">
        <v>1070</v>
      </c>
      <c r="E705" s="8" t="s">
        <v>2451</v>
      </c>
      <c r="F705" s="8" t="s">
        <v>2451</v>
      </c>
      <c r="G705" s="8" t="s">
        <v>2451</v>
      </c>
    </row>
    <row r="706" spans="1:7" outlineLevel="2" x14ac:dyDescent="0.35">
      <c r="A706" s="8" t="s">
        <v>2451</v>
      </c>
      <c r="B706" s="8" t="s">
        <v>2451</v>
      </c>
      <c r="C706" s="8"/>
      <c r="D706" s="8" t="s">
        <v>1071</v>
      </c>
      <c r="E706" s="8" t="s">
        <v>2451</v>
      </c>
      <c r="F706" s="8" t="s">
        <v>2451</v>
      </c>
      <c r="G706" s="8" t="s">
        <v>2451</v>
      </c>
    </row>
    <row r="707" spans="1:7" outlineLevel="2" x14ac:dyDescent="0.35">
      <c r="A707" s="8" t="s">
        <v>2451</v>
      </c>
      <c r="B707" s="8" t="s">
        <v>2451</v>
      </c>
      <c r="C707" s="8"/>
      <c r="D707" s="8" t="s">
        <v>1072</v>
      </c>
      <c r="E707" s="8" t="s">
        <v>2451</v>
      </c>
      <c r="F707" s="8" t="s">
        <v>2451</v>
      </c>
      <c r="G707" s="8" t="s">
        <v>2451</v>
      </c>
    </row>
    <row r="708" spans="1:7" outlineLevel="1" x14ac:dyDescent="0.35">
      <c r="A708" s="8" t="s">
        <v>83</v>
      </c>
      <c r="B708" s="8" t="s">
        <v>193</v>
      </c>
      <c r="C708" s="8">
        <v>4</v>
      </c>
      <c r="D708" s="8" t="s">
        <v>2451</v>
      </c>
      <c r="E708" s="8" t="s">
        <v>2451</v>
      </c>
      <c r="F708" s="8" t="s">
        <v>2451</v>
      </c>
      <c r="G708" s="8" t="s">
        <v>2451</v>
      </c>
    </row>
    <row r="709" spans="1:7" outlineLevel="2" x14ac:dyDescent="0.35">
      <c r="A709" s="8" t="s">
        <v>2451</v>
      </c>
      <c r="B709" s="8" t="s">
        <v>2451</v>
      </c>
      <c r="C709" s="8"/>
      <c r="D709" s="8" t="s">
        <v>1061</v>
      </c>
      <c r="E709" s="8" t="s">
        <v>2451</v>
      </c>
      <c r="F709" s="8" t="s">
        <v>2451</v>
      </c>
      <c r="G709" s="8" t="s">
        <v>2451</v>
      </c>
    </row>
    <row r="710" spans="1:7" outlineLevel="2" x14ac:dyDescent="0.35">
      <c r="A710" s="8" t="s">
        <v>2451</v>
      </c>
      <c r="B710" s="8" t="s">
        <v>2451</v>
      </c>
      <c r="C710" s="8"/>
      <c r="D710" s="8" t="s">
        <v>1062</v>
      </c>
      <c r="E710" s="8" t="s">
        <v>2451</v>
      </c>
      <c r="F710" s="8" t="s">
        <v>2451</v>
      </c>
      <c r="G710" s="8" t="s">
        <v>2451</v>
      </c>
    </row>
    <row r="711" spans="1:7" outlineLevel="2" x14ac:dyDescent="0.35">
      <c r="A711" s="8" t="s">
        <v>2451</v>
      </c>
      <c r="B711" s="8" t="s">
        <v>2451</v>
      </c>
      <c r="C711" s="8"/>
      <c r="D711" s="8" t="s">
        <v>1063</v>
      </c>
      <c r="E711" s="8" t="s">
        <v>2451</v>
      </c>
      <c r="F711" s="8" t="s">
        <v>2451</v>
      </c>
      <c r="G711" s="8" t="s">
        <v>2451</v>
      </c>
    </row>
    <row r="712" spans="1:7" outlineLevel="2" x14ac:dyDescent="0.35">
      <c r="A712" s="8" t="s">
        <v>2451</v>
      </c>
      <c r="B712" s="8" t="s">
        <v>2451</v>
      </c>
      <c r="C712" s="8"/>
      <c r="D712" s="8" t="s">
        <v>1064</v>
      </c>
      <c r="E712" s="8" t="s">
        <v>2451</v>
      </c>
      <c r="F712" s="8" t="s">
        <v>2451</v>
      </c>
      <c r="G712" s="8" t="s">
        <v>2451</v>
      </c>
    </row>
    <row r="713" spans="1:7" outlineLevel="1" x14ac:dyDescent="0.35">
      <c r="A713" s="8" t="s">
        <v>83</v>
      </c>
      <c r="B713" s="8" t="s">
        <v>199</v>
      </c>
      <c r="C713" s="8">
        <v>5</v>
      </c>
      <c r="D713" s="8" t="s">
        <v>2451</v>
      </c>
      <c r="E713" s="8" t="s">
        <v>2451</v>
      </c>
      <c r="F713" s="8" t="s">
        <v>2451</v>
      </c>
      <c r="G713" s="8" t="s">
        <v>2451</v>
      </c>
    </row>
    <row r="714" spans="1:7" outlineLevel="2" x14ac:dyDescent="0.35">
      <c r="A714" s="8" t="s">
        <v>2451</v>
      </c>
      <c r="B714" s="8" t="s">
        <v>2451</v>
      </c>
      <c r="C714" s="8"/>
      <c r="D714" s="8" t="s">
        <v>1056</v>
      </c>
      <c r="E714" s="8" t="s">
        <v>2451</v>
      </c>
      <c r="F714" s="8" t="s">
        <v>2451</v>
      </c>
      <c r="G714" s="8" t="s">
        <v>2451</v>
      </c>
    </row>
    <row r="715" spans="1:7" outlineLevel="2" x14ac:dyDescent="0.35">
      <c r="A715" s="8" t="s">
        <v>2451</v>
      </c>
      <c r="B715" s="8" t="s">
        <v>2451</v>
      </c>
      <c r="C715" s="8"/>
      <c r="D715" s="8" t="s">
        <v>1057</v>
      </c>
      <c r="E715" s="8" t="s">
        <v>2451</v>
      </c>
      <c r="F715" s="8" t="s">
        <v>2451</v>
      </c>
      <c r="G715" s="8" t="s">
        <v>2451</v>
      </c>
    </row>
    <row r="716" spans="1:7" outlineLevel="2" x14ac:dyDescent="0.35">
      <c r="A716" s="8" t="s">
        <v>2451</v>
      </c>
      <c r="B716" s="8" t="s">
        <v>2451</v>
      </c>
      <c r="C716" s="8"/>
      <c r="D716" s="8" t="s">
        <v>1058</v>
      </c>
      <c r="E716" s="8" t="s">
        <v>2451</v>
      </c>
      <c r="F716" s="8" t="s">
        <v>2451</v>
      </c>
      <c r="G716" s="8" t="s">
        <v>2451</v>
      </c>
    </row>
    <row r="717" spans="1:7" outlineLevel="2" x14ac:dyDescent="0.35">
      <c r="A717" s="8" t="s">
        <v>2451</v>
      </c>
      <c r="B717" s="8" t="s">
        <v>2451</v>
      </c>
      <c r="C717" s="8"/>
      <c r="D717" s="8" t="s">
        <v>1059</v>
      </c>
      <c r="E717" s="8" t="s">
        <v>2451</v>
      </c>
      <c r="F717" s="8" t="s">
        <v>2451</v>
      </c>
      <c r="G717" s="8" t="s">
        <v>2451</v>
      </c>
    </row>
    <row r="718" spans="1:7" outlineLevel="2" x14ac:dyDescent="0.35">
      <c r="A718" s="8" t="s">
        <v>2451</v>
      </c>
      <c r="B718" s="8" t="s">
        <v>2451</v>
      </c>
      <c r="C718" s="8"/>
      <c r="D718" s="8" t="s">
        <v>1060</v>
      </c>
      <c r="E718" s="8" t="s">
        <v>2451</v>
      </c>
      <c r="F718" s="8" t="s">
        <v>2451</v>
      </c>
      <c r="G718" s="8" t="s">
        <v>2451</v>
      </c>
    </row>
    <row r="719" spans="1:7" outlineLevel="1" x14ac:dyDescent="0.35">
      <c r="A719" s="8" t="s">
        <v>83</v>
      </c>
      <c r="B719" s="8" t="s">
        <v>204</v>
      </c>
      <c r="C719" s="8">
        <v>4</v>
      </c>
      <c r="D719" s="8" t="s">
        <v>2451</v>
      </c>
      <c r="E719" s="8" t="s">
        <v>2451</v>
      </c>
      <c r="F719" s="8" t="s">
        <v>2451</v>
      </c>
      <c r="G719" s="8" t="s">
        <v>2451</v>
      </c>
    </row>
    <row r="720" spans="1:7" outlineLevel="2" x14ac:dyDescent="0.35">
      <c r="A720" s="8" t="s">
        <v>2451</v>
      </c>
      <c r="B720" s="8" t="s">
        <v>2451</v>
      </c>
      <c r="C720" s="8"/>
      <c r="D720" s="8" t="s">
        <v>1052</v>
      </c>
      <c r="E720" s="8" t="s">
        <v>2451</v>
      </c>
      <c r="F720" s="8" t="s">
        <v>2451</v>
      </c>
      <c r="G720" s="8" t="s">
        <v>2451</v>
      </c>
    </row>
    <row r="721" spans="1:7" outlineLevel="2" x14ac:dyDescent="0.35">
      <c r="A721" s="8" t="s">
        <v>2451</v>
      </c>
      <c r="B721" s="8" t="s">
        <v>2451</v>
      </c>
      <c r="C721" s="8"/>
      <c r="D721" s="8" t="s">
        <v>1053</v>
      </c>
      <c r="E721" s="8" t="s">
        <v>2451</v>
      </c>
      <c r="F721" s="8" t="s">
        <v>2451</v>
      </c>
      <c r="G721" s="8" t="s">
        <v>2451</v>
      </c>
    </row>
    <row r="722" spans="1:7" outlineLevel="2" x14ac:dyDescent="0.35">
      <c r="A722" s="8" t="s">
        <v>2451</v>
      </c>
      <c r="B722" s="8" t="s">
        <v>2451</v>
      </c>
      <c r="C722" s="8"/>
      <c r="D722" s="8" t="s">
        <v>1054</v>
      </c>
      <c r="E722" s="8" t="s">
        <v>2451</v>
      </c>
      <c r="F722" s="8" t="s">
        <v>2451</v>
      </c>
      <c r="G722" s="8" t="s">
        <v>2451</v>
      </c>
    </row>
    <row r="723" spans="1:7" outlineLevel="2" x14ac:dyDescent="0.35">
      <c r="A723" s="8" t="s">
        <v>2451</v>
      </c>
      <c r="B723" s="8" t="s">
        <v>2451</v>
      </c>
      <c r="C723" s="8"/>
      <c r="D723" s="8" t="s">
        <v>1055</v>
      </c>
      <c r="E723" s="8" t="s">
        <v>2451</v>
      </c>
      <c r="F723" s="8" t="s">
        <v>2451</v>
      </c>
      <c r="G723" s="8" t="s">
        <v>2451</v>
      </c>
    </row>
    <row r="724" spans="1:7" outlineLevel="1" x14ac:dyDescent="0.35">
      <c r="A724" s="8" t="s">
        <v>209</v>
      </c>
      <c r="B724" s="8" t="s">
        <v>210</v>
      </c>
      <c r="C724" s="8">
        <v>11</v>
      </c>
      <c r="D724" s="8" t="s">
        <v>2451</v>
      </c>
      <c r="E724" s="8" t="s">
        <v>2451</v>
      </c>
      <c r="F724" s="8" t="s">
        <v>2451</v>
      </c>
      <c r="G724" s="8" t="s">
        <v>2451</v>
      </c>
    </row>
    <row r="725" spans="1:7" outlineLevel="2" x14ac:dyDescent="0.35">
      <c r="A725" s="8" t="s">
        <v>2451</v>
      </c>
      <c r="B725" s="8" t="s">
        <v>2451</v>
      </c>
      <c r="C725" s="8"/>
      <c r="D725" s="8" t="s">
        <v>1041</v>
      </c>
      <c r="E725" s="8" t="s">
        <v>2451</v>
      </c>
      <c r="F725" s="8" t="s">
        <v>2451</v>
      </c>
      <c r="G725" s="8" t="s">
        <v>2451</v>
      </c>
    </row>
    <row r="726" spans="1:7" outlineLevel="2" x14ac:dyDescent="0.35">
      <c r="A726" s="8" t="s">
        <v>2451</v>
      </c>
      <c r="B726" s="8" t="s">
        <v>2451</v>
      </c>
      <c r="C726" s="8"/>
      <c r="D726" s="8" t="s">
        <v>1042</v>
      </c>
      <c r="E726" s="8" t="s">
        <v>2451</v>
      </c>
      <c r="F726" s="8" t="s">
        <v>2451</v>
      </c>
      <c r="G726" s="8" t="s">
        <v>2451</v>
      </c>
    </row>
    <row r="727" spans="1:7" outlineLevel="2" x14ac:dyDescent="0.35">
      <c r="A727" s="8" t="s">
        <v>2451</v>
      </c>
      <c r="B727" s="8" t="s">
        <v>2451</v>
      </c>
      <c r="C727" s="8"/>
      <c r="D727" s="8" t="s">
        <v>1043</v>
      </c>
      <c r="E727" s="8" t="s">
        <v>2451</v>
      </c>
      <c r="F727" s="8" t="s">
        <v>2451</v>
      </c>
      <c r="G727" s="8" t="s">
        <v>2451</v>
      </c>
    </row>
    <row r="728" spans="1:7" outlineLevel="2" x14ac:dyDescent="0.35">
      <c r="A728" s="8" t="s">
        <v>2451</v>
      </c>
      <c r="B728" s="8" t="s">
        <v>2451</v>
      </c>
      <c r="C728" s="8"/>
      <c r="D728" s="8" t="s">
        <v>1044</v>
      </c>
      <c r="E728" s="8" t="s">
        <v>2451</v>
      </c>
      <c r="F728" s="8" t="s">
        <v>2451</v>
      </c>
      <c r="G728" s="8" t="s">
        <v>2451</v>
      </c>
    </row>
    <row r="729" spans="1:7" outlineLevel="2" x14ac:dyDescent="0.35">
      <c r="A729" s="8" t="s">
        <v>2451</v>
      </c>
      <c r="B729" s="8" t="s">
        <v>2451</v>
      </c>
      <c r="C729" s="8"/>
      <c r="D729" s="8" t="s">
        <v>1045</v>
      </c>
      <c r="E729" s="8" t="s">
        <v>2451</v>
      </c>
      <c r="F729" s="8" t="s">
        <v>2451</v>
      </c>
      <c r="G729" s="8" t="s">
        <v>2451</v>
      </c>
    </row>
    <row r="730" spans="1:7" outlineLevel="2" x14ac:dyDescent="0.35">
      <c r="A730" s="8" t="s">
        <v>2451</v>
      </c>
      <c r="B730" s="8" t="s">
        <v>2451</v>
      </c>
      <c r="C730" s="8"/>
      <c r="D730" s="8" t="s">
        <v>1046</v>
      </c>
      <c r="E730" s="8" t="s">
        <v>2451</v>
      </c>
      <c r="F730" s="8" t="s">
        <v>2451</v>
      </c>
      <c r="G730" s="8" t="s">
        <v>2451</v>
      </c>
    </row>
    <row r="731" spans="1:7" outlineLevel="2" x14ac:dyDescent="0.35">
      <c r="A731" s="8" t="s">
        <v>2451</v>
      </c>
      <c r="B731" s="8" t="s">
        <v>2451</v>
      </c>
      <c r="C731" s="8"/>
      <c r="D731" s="8" t="s">
        <v>1047</v>
      </c>
      <c r="E731" s="8" t="s">
        <v>2451</v>
      </c>
      <c r="F731" s="8" t="s">
        <v>2451</v>
      </c>
      <c r="G731" s="8" t="s">
        <v>2451</v>
      </c>
    </row>
    <row r="732" spans="1:7" outlineLevel="2" x14ac:dyDescent="0.35">
      <c r="A732" s="8" t="s">
        <v>2451</v>
      </c>
      <c r="B732" s="8" t="s">
        <v>2451</v>
      </c>
      <c r="C732" s="8"/>
      <c r="D732" s="8" t="s">
        <v>1048</v>
      </c>
      <c r="E732" s="8" t="s">
        <v>2451</v>
      </c>
      <c r="F732" s="8" t="s">
        <v>2451</v>
      </c>
      <c r="G732" s="8" t="s">
        <v>2451</v>
      </c>
    </row>
    <row r="733" spans="1:7" outlineLevel="2" x14ac:dyDescent="0.35">
      <c r="A733" s="8" t="s">
        <v>2451</v>
      </c>
      <c r="B733" s="8" t="s">
        <v>2451</v>
      </c>
      <c r="C733" s="8"/>
      <c r="D733" s="8" t="s">
        <v>1049</v>
      </c>
      <c r="E733" s="8" t="s">
        <v>2451</v>
      </c>
      <c r="F733" s="8" t="s">
        <v>2451</v>
      </c>
      <c r="G733" s="8" t="s">
        <v>2451</v>
      </c>
    </row>
    <row r="734" spans="1:7" outlineLevel="2" x14ac:dyDescent="0.35">
      <c r="A734" s="8" t="s">
        <v>2451</v>
      </c>
      <c r="B734" s="8" t="s">
        <v>2451</v>
      </c>
      <c r="C734" s="8"/>
      <c r="D734" s="8" t="s">
        <v>1050</v>
      </c>
      <c r="E734" s="8" t="s">
        <v>2451</v>
      </c>
      <c r="F734" s="8" t="s">
        <v>2451</v>
      </c>
      <c r="G734" s="8" t="s">
        <v>2451</v>
      </c>
    </row>
    <row r="735" spans="1:7" outlineLevel="2" x14ac:dyDescent="0.35">
      <c r="A735" s="8" t="s">
        <v>2451</v>
      </c>
      <c r="B735" s="8" t="s">
        <v>2451</v>
      </c>
      <c r="C735" s="8"/>
      <c r="D735" s="8" t="s">
        <v>1051</v>
      </c>
      <c r="E735" s="8" t="s">
        <v>2451</v>
      </c>
      <c r="F735" s="8" t="s">
        <v>2451</v>
      </c>
      <c r="G735" s="8" t="s">
        <v>2451</v>
      </c>
    </row>
    <row r="736" spans="1:7" outlineLevel="1" x14ac:dyDescent="0.35">
      <c r="A736" s="8" t="s">
        <v>216</v>
      </c>
      <c r="B736" s="8" t="s">
        <v>217</v>
      </c>
      <c r="C736" s="8">
        <v>1</v>
      </c>
      <c r="D736" s="8" t="s">
        <v>2451</v>
      </c>
      <c r="E736" s="8" t="s">
        <v>2451</v>
      </c>
      <c r="F736" s="8" t="s">
        <v>2451</v>
      </c>
      <c r="G736" s="8" t="s">
        <v>2451</v>
      </c>
    </row>
    <row r="737" spans="1:7" outlineLevel="1" x14ac:dyDescent="0.35">
      <c r="A737" s="8" t="s">
        <v>2451</v>
      </c>
      <c r="B737" s="8" t="s">
        <v>2451</v>
      </c>
      <c r="C737" s="8"/>
      <c r="D737" s="8" t="s">
        <v>1040</v>
      </c>
      <c r="E737" s="8" t="s">
        <v>2451</v>
      </c>
      <c r="F737" s="8" t="s">
        <v>2451</v>
      </c>
      <c r="G737" s="8" t="s">
        <v>2451</v>
      </c>
    </row>
    <row r="738" spans="1:7" outlineLevel="1" x14ac:dyDescent="0.35">
      <c r="A738" s="8" t="s">
        <v>216</v>
      </c>
      <c r="B738" s="8" t="s">
        <v>223</v>
      </c>
      <c r="C738" s="8">
        <v>4</v>
      </c>
      <c r="D738" s="8" t="s">
        <v>2451</v>
      </c>
      <c r="E738" s="8" t="s">
        <v>2451</v>
      </c>
      <c r="F738" s="8" t="s">
        <v>2451</v>
      </c>
      <c r="G738" s="8" t="s">
        <v>2451</v>
      </c>
    </row>
    <row r="739" spans="1:7" outlineLevel="2" x14ac:dyDescent="0.35">
      <c r="A739" s="8" t="s">
        <v>2451</v>
      </c>
      <c r="B739" s="8" t="s">
        <v>2451</v>
      </c>
      <c r="C739" s="8"/>
      <c r="D739" s="8" t="s">
        <v>1036</v>
      </c>
      <c r="E739" s="8" t="s">
        <v>2451</v>
      </c>
      <c r="F739" s="8" t="s">
        <v>2451</v>
      </c>
      <c r="G739" s="8" t="s">
        <v>2451</v>
      </c>
    </row>
    <row r="740" spans="1:7" outlineLevel="2" x14ac:dyDescent="0.35">
      <c r="A740" s="8" t="s">
        <v>2451</v>
      </c>
      <c r="B740" s="8" t="s">
        <v>2451</v>
      </c>
      <c r="C740" s="8"/>
      <c r="D740" s="8" t="s">
        <v>1037</v>
      </c>
      <c r="E740" s="8" t="s">
        <v>2451</v>
      </c>
      <c r="F740" s="8" t="s">
        <v>2451</v>
      </c>
      <c r="G740" s="8" t="s">
        <v>2451</v>
      </c>
    </row>
    <row r="741" spans="1:7" outlineLevel="2" x14ac:dyDescent="0.35">
      <c r="A741" s="8" t="s">
        <v>2451</v>
      </c>
      <c r="B741" s="8" t="s">
        <v>2451</v>
      </c>
      <c r="C741" s="8"/>
      <c r="D741" s="8" t="s">
        <v>1038</v>
      </c>
      <c r="E741" s="8" t="s">
        <v>2451</v>
      </c>
      <c r="F741" s="8" t="s">
        <v>2451</v>
      </c>
      <c r="G741" s="8" t="s">
        <v>2451</v>
      </c>
    </row>
    <row r="742" spans="1:7" outlineLevel="2" x14ac:dyDescent="0.35">
      <c r="A742" s="8" t="s">
        <v>2451</v>
      </c>
      <c r="B742" s="8" t="s">
        <v>2451</v>
      </c>
      <c r="C742" s="8"/>
      <c r="D742" s="8" t="s">
        <v>1039</v>
      </c>
      <c r="E742" s="8" t="s">
        <v>2451</v>
      </c>
      <c r="F742" s="8" t="s">
        <v>2451</v>
      </c>
      <c r="G742" s="8" t="s">
        <v>2451</v>
      </c>
    </row>
    <row r="743" spans="1:7" outlineLevel="1" x14ac:dyDescent="0.35">
      <c r="A743" s="8" t="s">
        <v>229</v>
      </c>
      <c r="B743" s="8" t="s">
        <v>230</v>
      </c>
      <c r="C743" s="8">
        <v>13</v>
      </c>
      <c r="D743" s="8" t="s">
        <v>2451</v>
      </c>
      <c r="E743" s="8" t="s">
        <v>2451</v>
      </c>
      <c r="F743" s="8" t="s">
        <v>2451</v>
      </c>
      <c r="G743" s="8" t="s">
        <v>2451</v>
      </c>
    </row>
    <row r="744" spans="1:7" outlineLevel="2" x14ac:dyDescent="0.35">
      <c r="A744" s="8" t="s">
        <v>2451</v>
      </c>
      <c r="B744" s="8" t="s">
        <v>2451</v>
      </c>
      <c r="C744" s="8"/>
      <c r="D744" s="8" t="s">
        <v>1023</v>
      </c>
      <c r="E744" s="8" t="s">
        <v>2451</v>
      </c>
      <c r="F744" s="8" t="s">
        <v>2451</v>
      </c>
      <c r="G744" s="8" t="s">
        <v>2451</v>
      </c>
    </row>
    <row r="745" spans="1:7" outlineLevel="2" x14ac:dyDescent="0.35">
      <c r="A745" s="8" t="s">
        <v>2451</v>
      </c>
      <c r="B745" s="8" t="s">
        <v>2451</v>
      </c>
      <c r="C745" s="8"/>
      <c r="D745" s="8" t="s">
        <v>1024</v>
      </c>
      <c r="E745" s="8" t="s">
        <v>2451</v>
      </c>
      <c r="F745" s="8" t="s">
        <v>2451</v>
      </c>
      <c r="G745" s="8" t="s">
        <v>2451</v>
      </c>
    </row>
    <row r="746" spans="1:7" outlineLevel="2" x14ac:dyDescent="0.35">
      <c r="A746" s="8" t="s">
        <v>2451</v>
      </c>
      <c r="B746" s="8" t="s">
        <v>2451</v>
      </c>
      <c r="C746" s="8"/>
      <c r="D746" s="8" t="s">
        <v>1025</v>
      </c>
      <c r="E746" s="8" t="s">
        <v>2451</v>
      </c>
      <c r="F746" s="8" t="s">
        <v>2451</v>
      </c>
      <c r="G746" s="8" t="s">
        <v>2451</v>
      </c>
    </row>
    <row r="747" spans="1:7" outlineLevel="2" x14ac:dyDescent="0.35">
      <c r="A747" s="8" t="s">
        <v>2451</v>
      </c>
      <c r="B747" s="8" t="s">
        <v>2451</v>
      </c>
      <c r="C747" s="8"/>
      <c r="D747" s="8" t="s">
        <v>1026</v>
      </c>
      <c r="E747" s="8" t="s">
        <v>2451</v>
      </c>
      <c r="F747" s="8" t="s">
        <v>2451</v>
      </c>
      <c r="G747" s="8" t="s">
        <v>2451</v>
      </c>
    </row>
    <row r="748" spans="1:7" outlineLevel="2" x14ac:dyDescent="0.35">
      <c r="A748" s="8" t="s">
        <v>2451</v>
      </c>
      <c r="B748" s="8" t="s">
        <v>2451</v>
      </c>
      <c r="C748" s="8"/>
      <c r="D748" s="8" t="s">
        <v>1027</v>
      </c>
      <c r="E748" s="8" t="s">
        <v>2451</v>
      </c>
      <c r="F748" s="8" t="s">
        <v>2451</v>
      </c>
      <c r="G748" s="8" t="s">
        <v>2451</v>
      </c>
    </row>
    <row r="749" spans="1:7" outlineLevel="2" x14ac:dyDescent="0.35">
      <c r="A749" s="8" t="s">
        <v>2451</v>
      </c>
      <c r="B749" s="8" t="s">
        <v>2451</v>
      </c>
      <c r="C749" s="8"/>
      <c r="D749" s="8" t="s">
        <v>1028</v>
      </c>
      <c r="E749" s="8" t="s">
        <v>2451</v>
      </c>
      <c r="F749" s="8" t="s">
        <v>2451</v>
      </c>
      <c r="G749" s="8" t="s">
        <v>2451</v>
      </c>
    </row>
    <row r="750" spans="1:7" outlineLevel="2" x14ac:dyDescent="0.35">
      <c r="A750" s="8" t="s">
        <v>2451</v>
      </c>
      <c r="B750" s="8" t="s">
        <v>2451</v>
      </c>
      <c r="C750" s="8"/>
      <c r="D750" s="8" t="s">
        <v>1029</v>
      </c>
      <c r="E750" s="8" t="s">
        <v>2451</v>
      </c>
      <c r="F750" s="8" t="s">
        <v>2451</v>
      </c>
      <c r="G750" s="8" t="s">
        <v>2451</v>
      </c>
    </row>
    <row r="751" spans="1:7" outlineLevel="2" x14ac:dyDescent="0.35">
      <c r="A751" s="8" t="s">
        <v>2451</v>
      </c>
      <c r="B751" s="8" t="s">
        <v>2451</v>
      </c>
      <c r="C751" s="8"/>
      <c r="D751" s="8" t="s">
        <v>1030</v>
      </c>
      <c r="E751" s="8" t="s">
        <v>2451</v>
      </c>
      <c r="F751" s="8" t="s">
        <v>2451</v>
      </c>
      <c r="G751" s="8" t="s">
        <v>2451</v>
      </c>
    </row>
    <row r="752" spans="1:7" outlineLevel="2" x14ac:dyDescent="0.35">
      <c r="A752" s="8" t="s">
        <v>2451</v>
      </c>
      <c r="B752" s="8" t="s">
        <v>2451</v>
      </c>
      <c r="C752" s="8"/>
      <c r="D752" s="8" t="s">
        <v>1031</v>
      </c>
      <c r="E752" s="8" t="s">
        <v>2451</v>
      </c>
      <c r="F752" s="8" t="s">
        <v>2451</v>
      </c>
      <c r="G752" s="8" t="s">
        <v>2451</v>
      </c>
    </row>
    <row r="753" spans="1:7" outlineLevel="2" x14ac:dyDescent="0.35">
      <c r="A753" s="8" t="s">
        <v>2451</v>
      </c>
      <c r="B753" s="8" t="s">
        <v>2451</v>
      </c>
      <c r="C753" s="8"/>
      <c r="D753" s="8" t="s">
        <v>1032</v>
      </c>
      <c r="E753" s="8" t="s">
        <v>2451</v>
      </c>
      <c r="F753" s="8" t="s">
        <v>2451</v>
      </c>
      <c r="G753" s="8" t="s">
        <v>2451</v>
      </c>
    </row>
    <row r="754" spans="1:7" outlineLevel="2" x14ac:dyDescent="0.35">
      <c r="A754" s="8" t="s">
        <v>2451</v>
      </c>
      <c r="B754" s="8" t="s">
        <v>2451</v>
      </c>
      <c r="C754" s="8"/>
      <c r="D754" s="8" t="s">
        <v>1033</v>
      </c>
      <c r="E754" s="8" t="s">
        <v>2451</v>
      </c>
      <c r="F754" s="8" t="s">
        <v>2451</v>
      </c>
      <c r="G754" s="8" t="s">
        <v>2451</v>
      </c>
    </row>
    <row r="755" spans="1:7" outlineLevel="2" x14ac:dyDescent="0.35">
      <c r="A755" s="8" t="s">
        <v>2451</v>
      </c>
      <c r="B755" s="8" t="s">
        <v>2451</v>
      </c>
      <c r="C755" s="8"/>
      <c r="D755" s="8" t="s">
        <v>1034</v>
      </c>
      <c r="E755" s="8" t="s">
        <v>2451</v>
      </c>
      <c r="F755" s="8" t="s">
        <v>2451</v>
      </c>
      <c r="G755" s="8" t="s">
        <v>2451</v>
      </c>
    </row>
    <row r="756" spans="1:7" outlineLevel="2" x14ac:dyDescent="0.35">
      <c r="A756" s="8" t="s">
        <v>2451</v>
      </c>
      <c r="B756" s="8" t="s">
        <v>2451</v>
      </c>
      <c r="C756" s="8"/>
      <c r="D756" s="8" t="s">
        <v>1035</v>
      </c>
      <c r="E756" s="8" t="s">
        <v>2451</v>
      </c>
      <c r="F756" s="8" t="s">
        <v>2451</v>
      </c>
      <c r="G756" s="8" t="s">
        <v>2451</v>
      </c>
    </row>
    <row r="757" spans="1:7" outlineLevel="1" x14ac:dyDescent="0.35">
      <c r="A757" s="8" t="s">
        <v>229</v>
      </c>
      <c r="B757" s="8" t="s">
        <v>236</v>
      </c>
      <c r="C757" s="8">
        <v>8</v>
      </c>
      <c r="D757" s="8" t="s">
        <v>2451</v>
      </c>
      <c r="E757" s="8" t="s">
        <v>2451</v>
      </c>
      <c r="F757" s="8" t="s">
        <v>2451</v>
      </c>
      <c r="G757" s="8" t="s">
        <v>2451</v>
      </c>
    </row>
    <row r="758" spans="1:7" outlineLevel="2" x14ac:dyDescent="0.35">
      <c r="A758" s="8" t="s">
        <v>2451</v>
      </c>
      <c r="B758" s="8" t="s">
        <v>2451</v>
      </c>
      <c r="C758" s="8"/>
      <c r="D758" s="8" t="s">
        <v>1015</v>
      </c>
      <c r="E758" s="8" t="s">
        <v>2451</v>
      </c>
      <c r="F758" s="8" t="s">
        <v>2451</v>
      </c>
      <c r="G758" s="8" t="s">
        <v>2451</v>
      </c>
    </row>
    <row r="759" spans="1:7" outlineLevel="2" x14ac:dyDescent="0.35">
      <c r="A759" s="8" t="s">
        <v>2451</v>
      </c>
      <c r="B759" s="8" t="s">
        <v>2451</v>
      </c>
      <c r="C759" s="8"/>
      <c r="D759" s="8" t="s">
        <v>1016</v>
      </c>
      <c r="E759" s="8" t="s">
        <v>2451</v>
      </c>
      <c r="F759" s="8" t="s">
        <v>2451</v>
      </c>
      <c r="G759" s="8" t="s">
        <v>2451</v>
      </c>
    </row>
    <row r="760" spans="1:7" outlineLevel="2" x14ac:dyDescent="0.35">
      <c r="A760" s="8" t="s">
        <v>2451</v>
      </c>
      <c r="B760" s="8" t="s">
        <v>2451</v>
      </c>
      <c r="C760" s="8"/>
      <c r="D760" s="8" t="s">
        <v>1017</v>
      </c>
      <c r="E760" s="8" t="s">
        <v>2451</v>
      </c>
      <c r="F760" s="8" t="s">
        <v>2451</v>
      </c>
      <c r="G760" s="8" t="s">
        <v>2451</v>
      </c>
    </row>
    <row r="761" spans="1:7" outlineLevel="2" x14ac:dyDescent="0.35">
      <c r="A761" s="8" t="s">
        <v>2451</v>
      </c>
      <c r="B761" s="8" t="s">
        <v>2451</v>
      </c>
      <c r="C761" s="8"/>
      <c r="D761" s="8" t="s">
        <v>1018</v>
      </c>
      <c r="E761" s="8" t="s">
        <v>2451</v>
      </c>
      <c r="F761" s="8" t="s">
        <v>2451</v>
      </c>
      <c r="G761" s="8" t="s">
        <v>2451</v>
      </c>
    </row>
    <row r="762" spans="1:7" outlineLevel="2" x14ac:dyDescent="0.35">
      <c r="A762" s="8" t="s">
        <v>2451</v>
      </c>
      <c r="B762" s="8" t="s">
        <v>2451</v>
      </c>
      <c r="C762" s="8"/>
      <c r="D762" s="8" t="s">
        <v>1019</v>
      </c>
      <c r="E762" s="8" t="s">
        <v>2451</v>
      </c>
      <c r="F762" s="8" t="s">
        <v>2451</v>
      </c>
      <c r="G762" s="8" t="s">
        <v>2451</v>
      </c>
    </row>
    <row r="763" spans="1:7" outlineLevel="2" x14ac:dyDescent="0.35">
      <c r="A763" s="8" t="s">
        <v>2451</v>
      </c>
      <c r="B763" s="8" t="s">
        <v>2451</v>
      </c>
      <c r="C763" s="8"/>
      <c r="D763" s="8" t="s">
        <v>1020</v>
      </c>
      <c r="E763" s="8" t="s">
        <v>2451</v>
      </c>
      <c r="F763" s="8" t="s">
        <v>2451</v>
      </c>
      <c r="G763" s="8" t="s">
        <v>2451</v>
      </c>
    </row>
    <row r="764" spans="1:7" outlineLevel="2" x14ac:dyDescent="0.35">
      <c r="A764" s="8" t="s">
        <v>2451</v>
      </c>
      <c r="B764" s="8" t="s">
        <v>2451</v>
      </c>
      <c r="C764" s="8"/>
      <c r="D764" s="8" t="s">
        <v>1021</v>
      </c>
      <c r="E764" s="8" t="s">
        <v>2451</v>
      </c>
      <c r="F764" s="8" t="s">
        <v>2451</v>
      </c>
      <c r="G764" s="8" t="s">
        <v>2451</v>
      </c>
    </row>
    <row r="765" spans="1:7" outlineLevel="2" x14ac:dyDescent="0.35">
      <c r="A765" s="8" t="s">
        <v>2451</v>
      </c>
      <c r="B765" s="8" t="s">
        <v>2451</v>
      </c>
      <c r="C765" s="8"/>
      <c r="D765" s="8" t="s">
        <v>1022</v>
      </c>
      <c r="E765" s="8" t="s">
        <v>2451</v>
      </c>
      <c r="F765" s="8" t="s">
        <v>2451</v>
      </c>
      <c r="G765" s="8" t="s">
        <v>2451</v>
      </c>
    </row>
    <row r="766" spans="1:7" outlineLevel="1" x14ac:dyDescent="0.35">
      <c r="A766" s="8" t="s">
        <v>229</v>
      </c>
      <c r="B766" s="8" t="s">
        <v>240</v>
      </c>
      <c r="C766" s="8">
        <v>10</v>
      </c>
      <c r="D766" s="8" t="s">
        <v>2451</v>
      </c>
      <c r="E766" s="8" t="s">
        <v>2451</v>
      </c>
      <c r="F766" s="8" t="s">
        <v>2451</v>
      </c>
      <c r="G766" s="8" t="s">
        <v>2451</v>
      </c>
    </row>
    <row r="767" spans="1:7" outlineLevel="2" x14ac:dyDescent="0.35">
      <c r="A767" s="8" t="s">
        <v>2451</v>
      </c>
      <c r="B767" s="8" t="s">
        <v>2451</v>
      </c>
      <c r="C767" s="8"/>
      <c r="D767" s="8" t="s">
        <v>1005</v>
      </c>
      <c r="E767" s="8" t="s">
        <v>2451</v>
      </c>
      <c r="F767" s="8" t="s">
        <v>2451</v>
      </c>
      <c r="G767" s="8" t="s">
        <v>2451</v>
      </c>
    </row>
    <row r="768" spans="1:7" outlineLevel="2" x14ac:dyDescent="0.35">
      <c r="A768" s="8" t="s">
        <v>2451</v>
      </c>
      <c r="B768" s="8" t="s">
        <v>2451</v>
      </c>
      <c r="C768" s="8"/>
      <c r="D768" s="8" t="s">
        <v>1006</v>
      </c>
      <c r="E768" s="8" t="s">
        <v>2451</v>
      </c>
      <c r="F768" s="8" t="s">
        <v>2451</v>
      </c>
      <c r="G768" s="8" t="s">
        <v>2451</v>
      </c>
    </row>
    <row r="769" spans="1:7" outlineLevel="2" x14ac:dyDescent="0.35">
      <c r="A769" s="8" t="s">
        <v>2451</v>
      </c>
      <c r="B769" s="8" t="s">
        <v>2451</v>
      </c>
      <c r="C769" s="8"/>
      <c r="D769" s="8" t="s">
        <v>1007</v>
      </c>
      <c r="E769" s="8" t="s">
        <v>2451</v>
      </c>
      <c r="F769" s="8" t="s">
        <v>2451</v>
      </c>
      <c r="G769" s="8" t="s">
        <v>2451</v>
      </c>
    </row>
    <row r="770" spans="1:7" outlineLevel="2" x14ac:dyDescent="0.35">
      <c r="A770" s="8" t="s">
        <v>2451</v>
      </c>
      <c r="B770" s="8" t="s">
        <v>2451</v>
      </c>
      <c r="C770" s="8"/>
      <c r="D770" s="8" t="s">
        <v>1008</v>
      </c>
      <c r="E770" s="8" t="s">
        <v>2451</v>
      </c>
      <c r="F770" s="8" t="s">
        <v>2451</v>
      </c>
      <c r="G770" s="8" t="s">
        <v>2451</v>
      </c>
    </row>
    <row r="771" spans="1:7" outlineLevel="2" x14ac:dyDescent="0.35">
      <c r="A771" s="8" t="s">
        <v>2451</v>
      </c>
      <c r="B771" s="8" t="s">
        <v>2451</v>
      </c>
      <c r="C771" s="8"/>
      <c r="D771" s="8" t="s">
        <v>1009</v>
      </c>
      <c r="E771" s="8" t="s">
        <v>2451</v>
      </c>
      <c r="F771" s="8" t="s">
        <v>2451</v>
      </c>
      <c r="G771" s="8" t="s">
        <v>2451</v>
      </c>
    </row>
    <row r="772" spans="1:7" outlineLevel="2" x14ac:dyDescent="0.35">
      <c r="A772" s="8" t="s">
        <v>2451</v>
      </c>
      <c r="B772" s="8" t="s">
        <v>2451</v>
      </c>
      <c r="C772" s="8"/>
      <c r="D772" s="8" t="s">
        <v>1010</v>
      </c>
      <c r="E772" s="8" t="s">
        <v>2451</v>
      </c>
      <c r="F772" s="8" t="s">
        <v>2451</v>
      </c>
      <c r="G772" s="8" t="s">
        <v>2451</v>
      </c>
    </row>
    <row r="773" spans="1:7" outlineLevel="2" x14ac:dyDescent="0.35">
      <c r="A773" s="8" t="s">
        <v>2451</v>
      </c>
      <c r="B773" s="8" t="s">
        <v>2451</v>
      </c>
      <c r="C773" s="8"/>
      <c r="D773" s="8" t="s">
        <v>1011</v>
      </c>
      <c r="E773" s="8" t="s">
        <v>2451</v>
      </c>
      <c r="F773" s="8" t="s">
        <v>2451</v>
      </c>
      <c r="G773" s="8" t="s">
        <v>2451</v>
      </c>
    </row>
    <row r="774" spans="1:7" outlineLevel="2" x14ac:dyDescent="0.35">
      <c r="A774" s="8" t="s">
        <v>2451</v>
      </c>
      <c r="B774" s="8" t="s">
        <v>2451</v>
      </c>
      <c r="C774" s="8"/>
      <c r="D774" s="8" t="s">
        <v>1012</v>
      </c>
      <c r="E774" s="8" t="s">
        <v>2451</v>
      </c>
      <c r="F774" s="8" t="s">
        <v>2451</v>
      </c>
      <c r="G774" s="8" t="s">
        <v>2451</v>
      </c>
    </row>
    <row r="775" spans="1:7" outlineLevel="2" x14ac:dyDescent="0.35">
      <c r="A775" s="8" t="s">
        <v>2451</v>
      </c>
      <c r="B775" s="8" t="s">
        <v>2451</v>
      </c>
      <c r="C775" s="8"/>
      <c r="D775" s="8" t="s">
        <v>1013</v>
      </c>
      <c r="E775" s="8" t="s">
        <v>2451</v>
      </c>
      <c r="F775" s="8" t="s">
        <v>2451</v>
      </c>
      <c r="G775" s="8" t="s">
        <v>2451</v>
      </c>
    </row>
    <row r="776" spans="1:7" outlineLevel="2" x14ac:dyDescent="0.35">
      <c r="A776" s="8" t="s">
        <v>2451</v>
      </c>
      <c r="B776" s="8" t="s">
        <v>2451</v>
      </c>
      <c r="C776" s="8"/>
      <c r="D776" s="8" t="s">
        <v>1014</v>
      </c>
      <c r="E776" s="8" t="s">
        <v>2451</v>
      </c>
      <c r="F776" s="8" t="s">
        <v>2451</v>
      </c>
      <c r="G776" s="8" t="s">
        <v>2451</v>
      </c>
    </row>
    <row r="777" spans="1:7" outlineLevel="1" x14ac:dyDescent="0.35">
      <c r="A777" s="8" t="s">
        <v>229</v>
      </c>
      <c r="B777" s="8" t="s">
        <v>244</v>
      </c>
      <c r="C777" s="8">
        <v>2</v>
      </c>
      <c r="D777" s="8" t="s">
        <v>2451</v>
      </c>
      <c r="E777" s="8" t="s">
        <v>2451</v>
      </c>
      <c r="F777" s="8" t="s">
        <v>2451</v>
      </c>
      <c r="G777" s="8" t="s">
        <v>2451</v>
      </c>
    </row>
    <row r="778" spans="1:7" outlineLevel="2" x14ac:dyDescent="0.35">
      <c r="A778" s="8" t="s">
        <v>2451</v>
      </c>
      <c r="B778" s="8" t="s">
        <v>2451</v>
      </c>
      <c r="C778" s="8"/>
      <c r="D778" s="8" t="s">
        <v>1003</v>
      </c>
      <c r="E778" s="8" t="s">
        <v>2451</v>
      </c>
      <c r="F778" s="8" t="s">
        <v>2451</v>
      </c>
      <c r="G778" s="8" t="s">
        <v>2451</v>
      </c>
    </row>
    <row r="779" spans="1:7" outlineLevel="2" x14ac:dyDescent="0.35">
      <c r="A779" s="8" t="s">
        <v>2451</v>
      </c>
      <c r="B779" s="8" t="s">
        <v>2451</v>
      </c>
      <c r="C779" s="8"/>
      <c r="D779" s="8" t="s">
        <v>1004</v>
      </c>
      <c r="E779" s="8" t="s">
        <v>2451</v>
      </c>
      <c r="F779" s="8" t="s">
        <v>2451</v>
      </c>
      <c r="G779" s="8" t="s">
        <v>2451</v>
      </c>
    </row>
    <row r="780" spans="1:7" outlineLevel="1" x14ac:dyDescent="0.35">
      <c r="A780" s="8" t="s">
        <v>229</v>
      </c>
      <c r="B780" s="8" t="s">
        <v>249</v>
      </c>
      <c r="C780" s="8">
        <v>12</v>
      </c>
      <c r="D780" s="8" t="s">
        <v>2451</v>
      </c>
      <c r="E780" s="8" t="s">
        <v>2451</v>
      </c>
      <c r="F780" s="8" t="s">
        <v>2451</v>
      </c>
      <c r="G780" s="8" t="s">
        <v>2451</v>
      </c>
    </row>
    <row r="781" spans="1:7" outlineLevel="2" x14ac:dyDescent="0.35">
      <c r="A781" s="8" t="s">
        <v>2451</v>
      </c>
      <c r="B781" s="8" t="s">
        <v>2451</v>
      </c>
      <c r="C781" s="8"/>
      <c r="D781" s="8" t="s">
        <v>991</v>
      </c>
      <c r="E781" s="8" t="s">
        <v>2451</v>
      </c>
      <c r="F781" s="8" t="s">
        <v>2451</v>
      </c>
      <c r="G781" s="8" t="s">
        <v>2451</v>
      </c>
    </row>
    <row r="782" spans="1:7" outlineLevel="2" x14ac:dyDescent="0.35">
      <c r="A782" s="8" t="s">
        <v>2451</v>
      </c>
      <c r="B782" s="8" t="s">
        <v>2451</v>
      </c>
      <c r="C782" s="8"/>
      <c r="D782" s="8" t="s">
        <v>992</v>
      </c>
      <c r="E782" s="8" t="s">
        <v>2451</v>
      </c>
      <c r="F782" s="8" t="s">
        <v>2451</v>
      </c>
      <c r="G782" s="8" t="s">
        <v>2451</v>
      </c>
    </row>
    <row r="783" spans="1:7" outlineLevel="2" x14ac:dyDescent="0.35">
      <c r="A783" s="8" t="s">
        <v>2451</v>
      </c>
      <c r="B783" s="8" t="s">
        <v>2451</v>
      </c>
      <c r="C783" s="8"/>
      <c r="D783" s="8" t="s">
        <v>993</v>
      </c>
      <c r="E783" s="8" t="s">
        <v>2451</v>
      </c>
      <c r="F783" s="8" t="s">
        <v>2451</v>
      </c>
      <c r="G783" s="8" t="s">
        <v>2451</v>
      </c>
    </row>
    <row r="784" spans="1:7" outlineLevel="2" x14ac:dyDescent="0.35">
      <c r="A784" s="8" t="s">
        <v>2451</v>
      </c>
      <c r="B784" s="8" t="s">
        <v>2451</v>
      </c>
      <c r="C784" s="8"/>
      <c r="D784" s="8" t="s">
        <v>994</v>
      </c>
      <c r="E784" s="8" t="s">
        <v>2451</v>
      </c>
      <c r="F784" s="8" t="s">
        <v>2451</v>
      </c>
      <c r="G784" s="8" t="s">
        <v>2451</v>
      </c>
    </row>
    <row r="785" spans="1:7" outlineLevel="2" x14ac:dyDescent="0.35">
      <c r="A785" s="8" t="s">
        <v>2451</v>
      </c>
      <c r="B785" s="8" t="s">
        <v>2451</v>
      </c>
      <c r="C785" s="8"/>
      <c r="D785" s="8" t="s">
        <v>995</v>
      </c>
      <c r="E785" s="8" t="s">
        <v>2451</v>
      </c>
      <c r="F785" s="8" t="s">
        <v>2451</v>
      </c>
      <c r="G785" s="8" t="s">
        <v>2451</v>
      </c>
    </row>
    <row r="786" spans="1:7" outlineLevel="2" x14ac:dyDescent="0.35">
      <c r="A786" s="8" t="s">
        <v>2451</v>
      </c>
      <c r="B786" s="8" t="s">
        <v>2451</v>
      </c>
      <c r="C786" s="8"/>
      <c r="D786" s="8" t="s">
        <v>996</v>
      </c>
      <c r="E786" s="8" t="s">
        <v>2451</v>
      </c>
      <c r="F786" s="8" t="s">
        <v>2451</v>
      </c>
      <c r="G786" s="8" t="s">
        <v>2451</v>
      </c>
    </row>
    <row r="787" spans="1:7" outlineLevel="2" x14ac:dyDescent="0.35">
      <c r="A787" s="8" t="s">
        <v>2451</v>
      </c>
      <c r="B787" s="8" t="s">
        <v>2451</v>
      </c>
      <c r="C787" s="8"/>
      <c r="D787" s="8" t="s">
        <v>997</v>
      </c>
      <c r="E787" s="8" t="s">
        <v>2451</v>
      </c>
      <c r="F787" s="8" t="s">
        <v>2451</v>
      </c>
      <c r="G787" s="8" t="s">
        <v>2451</v>
      </c>
    </row>
    <row r="788" spans="1:7" outlineLevel="2" x14ac:dyDescent="0.35">
      <c r="A788" s="8" t="s">
        <v>2451</v>
      </c>
      <c r="B788" s="8" t="s">
        <v>2451</v>
      </c>
      <c r="C788" s="8"/>
      <c r="D788" s="8" t="s">
        <v>998</v>
      </c>
      <c r="E788" s="8" t="s">
        <v>2451</v>
      </c>
      <c r="F788" s="8" t="s">
        <v>2451</v>
      </c>
      <c r="G788" s="8" t="s">
        <v>2451</v>
      </c>
    </row>
    <row r="789" spans="1:7" outlineLevel="2" x14ac:dyDescent="0.35">
      <c r="A789" s="8" t="s">
        <v>2451</v>
      </c>
      <c r="B789" s="8" t="s">
        <v>2451</v>
      </c>
      <c r="C789" s="8"/>
      <c r="D789" s="8" t="s">
        <v>999</v>
      </c>
      <c r="E789" s="8" t="s">
        <v>2451</v>
      </c>
      <c r="F789" s="8" t="s">
        <v>2451</v>
      </c>
      <c r="G789" s="8" t="s">
        <v>2451</v>
      </c>
    </row>
    <row r="790" spans="1:7" outlineLevel="2" x14ac:dyDescent="0.35">
      <c r="A790" s="8" t="s">
        <v>2451</v>
      </c>
      <c r="B790" s="8" t="s">
        <v>2451</v>
      </c>
      <c r="C790" s="8"/>
      <c r="D790" s="8" t="s">
        <v>1000</v>
      </c>
      <c r="E790" s="8" t="s">
        <v>2451</v>
      </c>
      <c r="F790" s="8" t="s">
        <v>2451</v>
      </c>
      <c r="G790" s="8" t="s">
        <v>2451</v>
      </c>
    </row>
    <row r="791" spans="1:7" outlineLevel="2" x14ac:dyDescent="0.35">
      <c r="A791" s="8" t="s">
        <v>2451</v>
      </c>
      <c r="B791" s="8" t="s">
        <v>2451</v>
      </c>
      <c r="C791" s="8"/>
      <c r="D791" s="8" t="s">
        <v>1001</v>
      </c>
      <c r="E791" s="8" t="s">
        <v>2451</v>
      </c>
      <c r="F791" s="8" t="s">
        <v>2451</v>
      </c>
      <c r="G791" s="8" t="s">
        <v>2451</v>
      </c>
    </row>
    <row r="792" spans="1:7" outlineLevel="2" x14ac:dyDescent="0.35">
      <c r="A792" s="8" t="s">
        <v>2451</v>
      </c>
      <c r="B792" s="8" t="s">
        <v>2451</v>
      </c>
      <c r="C792" s="8"/>
      <c r="D792" s="8" t="s">
        <v>1002</v>
      </c>
      <c r="E792" s="8" t="s">
        <v>2451</v>
      </c>
      <c r="F792" s="8" t="s">
        <v>2451</v>
      </c>
      <c r="G792" s="8" t="s">
        <v>2451</v>
      </c>
    </row>
    <row r="793" spans="1:7" outlineLevel="1" x14ac:dyDescent="0.35">
      <c r="A793" s="52" t="s">
        <v>2451</v>
      </c>
      <c r="B793" s="52" t="s">
        <v>2451</v>
      </c>
      <c r="C793" s="52"/>
      <c r="D793" s="52" t="s">
        <v>2451</v>
      </c>
      <c r="E793" s="52" t="s">
        <v>2451</v>
      </c>
      <c r="F793" s="52" t="s">
        <v>2451</v>
      </c>
      <c r="G793" s="52" t="s">
        <v>2451</v>
      </c>
    </row>
    <row r="794" spans="1:7" x14ac:dyDescent="0.35">
      <c r="A794" s="52" t="s">
        <v>2451</v>
      </c>
      <c r="B794" s="52" t="s">
        <v>2451</v>
      </c>
      <c r="C794" s="52"/>
      <c r="D794" s="52" t="s">
        <v>2451</v>
      </c>
      <c r="E794" s="52" t="s">
        <v>2451</v>
      </c>
      <c r="F794" s="52" t="s">
        <v>2451</v>
      </c>
      <c r="G794" s="52" t="s">
        <v>2451</v>
      </c>
    </row>
    <row r="795" spans="1:7" x14ac:dyDescent="0.35">
      <c r="A795" s="50" t="s">
        <v>257</v>
      </c>
      <c r="B795" s="47" t="s">
        <v>2451</v>
      </c>
      <c r="C795" s="47"/>
      <c r="D795" s="48" t="s">
        <v>2451</v>
      </c>
      <c r="E795" s="47" t="s">
        <v>2451</v>
      </c>
      <c r="F795" s="47" t="s">
        <v>2451</v>
      </c>
      <c r="G795" s="49" t="s">
        <v>2451</v>
      </c>
    </row>
    <row r="796" spans="1:7" outlineLevel="1" x14ac:dyDescent="0.35">
      <c r="A796" s="8" t="s">
        <v>2451</v>
      </c>
      <c r="B796" s="8" t="s">
        <v>265</v>
      </c>
      <c r="C796" s="8">
        <v>2</v>
      </c>
      <c r="D796" s="8" t="s">
        <v>2451</v>
      </c>
      <c r="E796" s="8" t="s">
        <v>2451</v>
      </c>
      <c r="F796" s="8" t="s">
        <v>2451</v>
      </c>
      <c r="G796" s="8" t="s">
        <v>2451</v>
      </c>
    </row>
    <row r="797" spans="1:7" outlineLevel="2" x14ac:dyDescent="0.35">
      <c r="A797" s="8" t="s">
        <v>2451</v>
      </c>
      <c r="B797" s="8" t="s">
        <v>2451</v>
      </c>
      <c r="C797" s="8"/>
      <c r="D797" s="8" t="s">
        <v>1446</v>
      </c>
      <c r="E797" s="8" t="s">
        <v>2451</v>
      </c>
      <c r="F797" s="8" t="s">
        <v>2451</v>
      </c>
      <c r="G797" s="8" t="s">
        <v>2451</v>
      </c>
    </row>
    <row r="798" spans="1:7" outlineLevel="2" x14ac:dyDescent="0.35">
      <c r="A798" s="8" t="s">
        <v>2451</v>
      </c>
      <c r="B798" s="8" t="s">
        <v>2451</v>
      </c>
      <c r="C798" s="8"/>
      <c r="D798" s="8" t="s">
        <v>1447</v>
      </c>
      <c r="E798" s="8" t="s">
        <v>2451</v>
      </c>
      <c r="F798" s="8" t="s">
        <v>2451</v>
      </c>
      <c r="G798" s="8" t="s">
        <v>2451</v>
      </c>
    </row>
    <row r="799" spans="1:7" outlineLevel="1" x14ac:dyDescent="0.35">
      <c r="A799" s="8" t="s">
        <v>39</v>
      </c>
      <c r="B799" s="8" t="s">
        <v>271</v>
      </c>
      <c r="C799" s="8">
        <v>1</v>
      </c>
      <c r="D799" s="8" t="s">
        <v>2451</v>
      </c>
      <c r="E799" s="8" t="s">
        <v>2451</v>
      </c>
      <c r="F799" s="8" t="s">
        <v>2451</v>
      </c>
      <c r="G799" s="8" t="s">
        <v>2451</v>
      </c>
    </row>
    <row r="800" spans="1:7" outlineLevel="1" x14ac:dyDescent="0.35">
      <c r="A800" s="8" t="s">
        <v>2451</v>
      </c>
      <c r="B800" s="8" t="s">
        <v>2451</v>
      </c>
      <c r="C800" s="8"/>
      <c r="D800" s="8" t="s">
        <v>1445</v>
      </c>
      <c r="E800" s="8" t="s">
        <v>2451</v>
      </c>
      <c r="F800" s="8" t="s">
        <v>2451</v>
      </c>
      <c r="G800" s="8" t="s">
        <v>2451</v>
      </c>
    </row>
    <row r="801" spans="1:7" outlineLevel="1" x14ac:dyDescent="0.35">
      <c r="A801" s="8" t="s">
        <v>39</v>
      </c>
      <c r="B801" s="8" t="s">
        <v>276</v>
      </c>
      <c r="C801" s="8">
        <v>2</v>
      </c>
      <c r="D801" s="8" t="s">
        <v>2451</v>
      </c>
      <c r="E801" s="8" t="s">
        <v>2451</v>
      </c>
      <c r="F801" s="8" t="s">
        <v>2451</v>
      </c>
      <c r="G801" s="8" t="s">
        <v>2451</v>
      </c>
    </row>
    <row r="802" spans="1:7" outlineLevel="2" x14ac:dyDescent="0.35">
      <c r="A802" s="8" t="s">
        <v>2451</v>
      </c>
      <c r="B802" s="8" t="s">
        <v>2451</v>
      </c>
      <c r="C802" s="8"/>
      <c r="D802" s="8" t="s">
        <v>1443</v>
      </c>
      <c r="E802" s="8" t="s">
        <v>2451</v>
      </c>
      <c r="F802" s="8" t="s">
        <v>2451</v>
      </c>
      <c r="G802" s="8" t="s">
        <v>2451</v>
      </c>
    </row>
    <row r="803" spans="1:7" outlineLevel="2" x14ac:dyDescent="0.35">
      <c r="A803" s="8" t="s">
        <v>2451</v>
      </c>
      <c r="B803" s="8" t="s">
        <v>2451</v>
      </c>
      <c r="C803" s="8"/>
      <c r="D803" s="8" t="s">
        <v>1444</v>
      </c>
      <c r="E803" s="8" t="s">
        <v>2451</v>
      </c>
      <c r="F803" s="8" t="s">
        <v>2451</v>
      </c>
      <c r="G803" s="8" t="s">
        <v>2451</v>
      </c>
    </row>
    <row r="804" spans="1:7" outlineLevel="1" x14ac:dyDescent="0.35">
      <c r="A804" s="8" t="s">
        <v>281</v>
      </c>
      <c r="B804" s="8" t="s">
        <v>282</v>
      </c>
      <c r="C804" s="8">
        <v>4</v>
      </c>
      <c r="D804" s="8" t="s">
        <v>2451</v>
      </c>
      <c r="E804" s="8" t="s">
        <v>2451</v>
      </c>
      <c r="F804" s="8" t="s">
        <v>2451</v>
      </c>
      <c r="G804" s="8" t="s">
        <v>2451</v>
      </c>
    </row>
    <row r="805" spans="1:7" outlineLevel="2" x14ac:dyDescent="0.35">
      <c r="A805" s="8" t="s">
        <v>2451</v>
      </c>
      <c r="B805" s="8" t="s">
        <v>2451</v>
      </c>
      <c r="C805" s="8"/>
      <c r="D805" s="8" t="s">
        <v>1439</v>
      </c>
      <c r="E805" s="8" t="s">
        <v>2451</v>
      </c>
      <c r="F805" s="8" t="s">
        <v>2451</v>
      </c>
      <c r="G805" s="8" t="s">
        <v>2451</v>
      </c>
    </row>
    <row r="806" spans="1:7" outlineLevel="2" x14ac:dyDescent="0.35">
      <c r="A806" s="8" t="s">
        <v>2451</v>
      </c>
      <c r="B806" s="8" t="s">
        <v>2451</v>
      </c>
      <c r="C806" s="8"/>
      <c r="D806" s="8" t="s">
        <v>1440</v>
      </c>
      <c r="E806" s="8" t="s">
        <v>2451</v>
      </c>
      <c r="F806" s="8" t="s">
        <v>2451</v>
      </c>
      <c r="G806" s="8" t="s">
        <v>2451</v>
      </c>
    </row>
    <row r="807" spans="1:7" outlineLevel="2" x14ac:dyDescent="0.35">
      <c r="A807" s="8" t="s">
        <v>2451</v>
      </c>
      <c r="B807" s="8" t="s">
        <v>2451</v>
      </c>
      <c r="C807" s="8"/>
      <c r="D807" s="8" t="s">
        <v>1441</v>
      </c>
      <c r="E807" s="8" t="s">
        <v>2451</v>
      </c>
      <c r="F807" s="8" t="s">
        <v>2451</v>
      </c>
      <c r="G807" s="8" t="s">
        <v>2451</v>
      </c>
    </row>
    <row r="808" spans="1:7" outlineLevel="2" x14ac:dyDescent="0.35">
      <c r="A808" s="8" t="s">
        <v>2451</v>
      </c>
      <c r="B808" s="8" t="s">
        <v>2451</v>
      </c>
      <c r="C808" s="8"/>
      <c r="D808" s="8" t="s">
        <v>1442</v>
      </c>
      <c r="E808" s="8" t="s">
        <v>2451</v>
      </c>
      <c r="F808" s="8" t="s">
        <v>2451</v>
      </c>
      <c r="G808" s="8" t="s">
        <v>2451</v>
      </c>
    </row>
    <row r="809" spans="1:7" outlineLevel="1" x14ac:dyDescent="0.35">
      <c r="A809" s="8" t="s">
        <v>83</v>
      </c>
      <c r="B809" s="8" t="s">
        <v>286</v>
      </c>
      <c r="C809" s="8">
        <v>5</v>
      </c>
      <c r="D809" s="8" t="s">
        <v>2451</v>
      </c>
      <c r="E809" s="8" t="s">
        <v>2451</v>
      </c>
      <c r="F809" s="8" t="s">
        <v>2451</v>
      </c>
      <c r="G809" s="8" t="s">
        <v>2451</v>
      </c>
    </row>
    <row r="810" spans="1:7" outlineLevel="2" x14ac:dyDescent="0.35">
      <c r="A810" s="8" t="s">
        <v>2451</v>
      </c>
      <c r="B810" s="8" t="s">
        <v>2451</v>
      </c>
      <c r="C810" s="8"/>
      <c r="D810" s="8" t="s">
        <v>1434</v>
      </c>
      <c r="E810" s="8" t="s">
        <v>2451</v>
      </c>
      <c r="F810" s="8" t="s">
        <v>2451</v>
      </c>
      <c r="G810" s="8" t="s">
        <v>2451</v>
      </c>
    </row>
    <row r="811" spans="1:7" outlineLevel="2" x14ac:dyDescent="0.35">
      <c r="A811" s="8" t="s">
        <v>2451</v>
      </c>
      <c r="B811" s="8" t="s">
        <v>2451</v>
      </c>
      <c r="C811" s="8"/>
      <c r="D811" s="8" t="s">
        <v>1435</v>
      </c>
      <c r="E811" s="8" t="s">
        <v>2451</v>
      </c>
      <c r="F811" s="8" t="s">
        <v>2451</v>
      </c>
      <c r="G811" s="8" t="s">
        <v>2451</v>
      </c>
    </row>
    <row r="812" spans="1:7" outlineLevel="2" x14ac:dyDescent="0.35">
      <c r="A812" s="8" t="s">
        <v>2451</v>
      </c>
      <c r="B812" s="8" t="s">
        <v>2451</v>
      </c>
      <c r="C812" s="8"/>
      <c r="D812" s="8" t="s">
        <v>1436</v>
      </c>
      <c r="E812" s="8" t="s">
        <v>2451</v>
      </c>
      <c r="F812" s="8" t="s">
        <v>2451</v>
      </c>
      <c r="G812" s="8" t="s">
        <v>2451</v>
      </c>
    </row>
    <row r="813" spans="1:7" outlineLevel="2" x14ac:dyDescent="0.35">
      <c r="A813" s="8" t="s">
        <v>2451</v>
      </c>
      <c r="B813" s="8" t="s">
        <v>2451</v>
      </c>
      <c r="C813" s="8"/>
      <c r="D813" s="8" t="s">
        <v>1437</v>
      </c>
      <c r="E813" s="8" t="s">
        <v>2451</v>
      </c>
      <c r="F813" s="8" t="s">
        <v>2451</v>
      </c>
      <c r="G813" s="8" t="s">
        <v>2451</v>
      </c>
    </row>
    <row r="814" spans="1:7" outlineLevel="2" x14ac:dyDescent="0.35">
      <c r="A814" s="8" t="s">
        <v>2451</v>
      </c>
      <c r="B814" s="8" t="s">
        <v>2451</v>
      </c>
      <c r="C814" s="8"/>
      <c r="D814" s="8" t="s">
        <v>1438</v>
      </c>
      <c r="E814" s="8" t="s">
        <v>2451</v>
      </c>
      <c r="F814" s="8" t="s">
        <v>2451</v>
      </c>
      <c r="G814" s="8" t="s">
        <v>2451</v>
      </c>
    </row>
    <row r="815" spans="1:7" outlineLevel="1" x14ac:dyDescent="0.35">
      <c r="A815" s="8" t="s">
        <v>83</v>
      </c>
      <c r="B815" s="8" t="s">
        <v>292</v>
      </c>
      <c r="C815" s="8">
        <v>4</v>
      </c>
      <c r="D815" s="8" t="s">
        <v>2451</v>
      </c>
      <c r="E815" s="8" t="s">
        <v>2451</v>
      </c>
      <c r="F815" s="8" t="s">
        <v>2451</v>
      </c>
      <c r="G815" s="8" t="s">
        <v>2451</v>
      </c>
    </row>
    <row r="816" spans="1:7" outlineLevel="2" x14ac:dyDescent="0.35">
      <c r="A816" s="8" t="s">
        <v>2451</v>
      </c>
      <c r="B816" s="8" t="s">
        <v>2451</v>
      </c>
      <c r="C816" s="8"/>
      <c r="D816" s="8" t="s">
        <v>1430</v>
      </c>
      <c r="E816" s="8" t="s">
        <v>2451</v>
      </c>
      <c r="F816" s="8" t="s">
        <v>2451</v>
      </c>
      <c r="G816" s="8" t="s">
        <v>2451</v>
      </c>
    </row>
    <row r="817" spans="1:7" outlineLevel="2" x14ac:dyDescent="0.35">
      <c r="A817" s="8" t="s">
        <v>2451</v>
      </c>
      <c r="B817" s="8" t="s">
        <v>2451</v>
      </c>
      <c r="C817" s="8"/>
      <c r="D817" s="8" t="s">
        <v>1431</v>
      </c>
      <c r="E817" s="8" t="s">
        <v>2451</v>
      </c>
      <c r="F817" s="8" t="s">
        <v>2451</v>
      </c>
      <c r="G817" s="8" t="s">
        <v>2451</v>
      </c>
    </row>
    <row r="818" spans="1:7" outlineLevel="2" x14ac:dyDescent="0.35">
      <c r="A818" s="8" t="s">
        <v>2451</v>
      </c>
      <c r="B818" s="8" t="s">
        <v>2451</v>
      </c>
      <c r="C818" s="8"/>
      <c r="D818" s="8" t="s">
        <v>1432</v>
      </c>
      <c r="E818" s="8" t="s">
        <v>2451</v>
      </c>
      <c r="F818" s="8" t="s">
        <v>2451</v>
      </c>
      <c r="G818" s="8" t="s">
        <v>2451</v>
      </c>
    </row>
    <row r="819" spans="1:7" outlineLevel="2" x14ac:dyDescent="0.35">
      <c r="A819" s="8" t="s">
        <v>2451</v>
      </c>
      <c r="B819" s="8" t="s">
        <v>2451</v>
      </c>
      <c r="C819" s="8"/>
      <c r="D819" s="8" t="s">
        <v>1433</v>
      </c>
      <c r="E819" s="8" t="s">
        <v>2451</v>
      </c>
      <c r="F819" s="8" t="s">
        <v>2451</v>
      </c>
      <c r="G819" s="8" t="s">
        <v>2451</v>
      </c>
    </row>
    <row r="820" spans="1:7" outlineLevel="1" x14ac:dyDescent="0.35">
      <c r="A820" s="8" t="s">
        <v>296</v>
      </c>
      <c r="B820" s="8" t="s">
        <v>297</v>
      </c>
      <c r="C820" s="8">
        <v>7</v>
      </c>
      <c r="D820" s="8" t="s">
        <v>2451</v>
      </c>
      <c r="E820" s="8" t="s">
        <v>2451</v>
      </c>
      <c r="F820" s="8" t="s">
        <v>2451</v>
      </c>
      <c r="G820" s="8" t="s">
        <v>2451</v>
      </c>
    </row>
    <row r="821" spans="1:7" outlineLevel="2" x14ac:dyDescent="0.35">
      <c r="A821" s="8" t="s">
        <v>2451</v>
      </c>
      <c r="B821" s="8" t="s">
        <v>2451</v>
      </c>
      <c r="C821" s="8"/>
      <c r="D821" s="8" t="s">
        <v>1423</v>
      </c>
      <c r="E821" s="8" t="s">
        <v>2451</v>
      </c>
      <c r="F821" s="8" t="s">
        <v>2451</v>
      </c>
      <c r="G821" s="8" t="s">
        <v>2451</v>
      </c>
    </row>
    <row r="822" spans="1:7" outlineLevel="2" x14ac:dyDescent="0.35">
      <c r="A822" s="8" t="s">
        <v>2451</v>
      </c>
      <c r="B822" s="8" t="s">
        <v>2451</v>
      </c>
      <c r="C822" s="8"/>
      <c r="D822" s="8" t="s">
        <v>1424</v>
      </c>
      <c r="E822" s="8" t="s">
        <v>2451</v>
      </c>
      <c r="F822" s="8" t="s">
        <v>2451</v>
      </c>
      <c r="G822" s="8" t="s">
        <v>2451</v>
      </c>
    </row>
    <row r="823" spans="1:7" outlineLevel="2" x14ac:dyDescent="0.35">
      <c r="A823" s="8" t="s">
        <v>2451</v>
      </c>
      <c r="B823" s="8" t="s">
        <v>2451</v>
      </c>
      <c r="C823" s="8"/>
      <c r="D823" s="8" t="s">
        <v>1425</v>
      </c>
      <c r="E823" s="8" t="s">
        <v>2451</v>
      </c>
      <c r="F823" s="8" t="s">
        <v>2451</v>
      </c>
      <c r="G823" s="8" t="s">
        <v>2451</v>
      </c>
    </row>
    <row r="824" spans="1:7" outlineLevel="2" x14ac:dyDescent="0.35">
      <c r="A824" s="8" t="s">
        <v>2451</v>
      </c>
      <c r="B824" s="8" t="s">
        <v>2451</v>
      </c>
      <c r="C824" s="8"/>
      <c r="D824" s="8" t="s">
        <v>1426</v>
      </c>
      <c r="E824" s="8" t="s">
        <v>2451</v>
      </c>
      <c r="F824" s="8" t="s">
        <v>2451</v>
      </c>
      <c r="G824" s="8" t="s">
        <v>2451</v>
      </c>
    </row>
    <row r="825" spans="1:7" outlineLevel="2" x14ac:dyDescent="0.35">
      <c r="A825" s="8" t="s">
        <v>2451</v>
      </c>
      <c r="B825" s="8" t="s">
        <v>2451</v>
      </c>
      <c r="C825" s="8"/>
      <c r="D825" s="8" t="s">
        <v>1427</v>
      </c>
      <c r="E825" s="8" t="s">
        <v>2451</v>
      </c>
      <c r="F825" s="8" t="s">
        <v>2451</v>
      </c>
      <c r="G825" s="8" t="s">
        <v>2451</v>
      </c>
    </row>
    <row r="826" spans="1:7" outlineLevel="2" x14ac:dyDescent="0.35">
      <c r="A826" s="8" t="s">
        <v>2451</v>
      </c>
      <c r="B826" s="8" t="s">
        <v>2451</v>
      </c>
      <c r="C826" s="8"/>
      <c r="D826" s="8" t="s">
        <v>1428</v>
      </c>
      <c r="E826" s="8" t="s">
        <v>2451</v>
      </c>
      <c r="F826" s="8" t="s">
        <v>2451</v>
      </c>
      <c r="G826" s="8" t="s">
        <v>2451</v>
      </c>
    </row>
    <row r="827" spans="1:7" outlineLevel="2" x14ac:dyDescent="0.35">
      <c r="A827" s="8" t="s">
        <v>2451</v>
      </c>
      <c r="B827" s="8" t="s">
        <v>2451</v>
      </c>
      <c r="C827" s="8"/>
      <c r="D827" s="8" t="s">
        <v>1429</v>
      </c>
      <c r="E827" s="8" t="s">
        <v>2451</v>
      </c>
      <c r="F827" s="8" t="s">
        <v>2451</v>
      </c>
      <c r="G827" s="8" t="s">
        <v>2451</v>
      </c>
    </row>
    <row r="828" spans="1:7" outlineLevel="1" x14ac:dyDescent="0.35">
      <c r="A828" s="52" t="s">
        <v>2451</v>
      </c>
      <c r="B828" s="52" t="s">
        <v>2451</v>
      </c>
      <c r="C828" s="52"/>
      <c r="D828" s="52" t="s">
        <v>2451</v>
      </c>
      <c r="E828" s="52" t="s">
        <v>2451</v>
      </c>
      <c r="F828" s="52" t="s">
        <v>2451</v>
      </c>
      <c r="G828" s="52" t="s">
        <v>2451</v>
      </c>
    </row>
    <row r="829" spans="1:7" x14ac:dyDescent="0.35">
      <c r="A829" s="52" t="s">
        <v>2451</v>
      </c>
      <c r="B829" s="52" t="s">
        <v>2451</v>
      </c>
      <c r="C829" s="52"/>
      <c r="D829" s="52" t="s">
        <v>2451</v>
      </c>
      <c r="E829" s="52" t="s">
        <v>2451</v>
      </c>
      <c r="F829" s="52" t="s">
        <v>2451</v>
      </c>
      <c r="G829" s="52" t="s">
        <v>2451</v>
      </c>
    </row>
    <row r="830" spans="1:7" x14ac:dyDescent="0.35">
      <c r="A830" s="50" t="s">
        <v>36</v>
      </c>
      <c r="B830" s="47" t="s">
        <v>2451</v>
      </c>
      <c r="C830" s="47"/>
      <c r="D830" s="48" t="s">
        <v>2451</v>
      </c>
      <c r="E830" s="47" t="s">
        <v>2451</v>
      </c>
      <c r="F830" s="47" t="s">
        <v>2451</v>
      </c>
      <c r="G830" s="49" t="s">
        <v>2451</v>
      </c>
    </row>
    <row r="831" spans="1:7" outlineLevel="1" x14ac:dyDescent="0.35">
      <c r="A831" s="8" t="s">
        <v>45</v>
      </c>
      <c r="B831" s="8" t="s">
        <v>46</v>
      </c>
      <c r="C831" s="8">
        <v>4</v>
      </c>
      <c r="D831" s="8" t="s">
        <v>2451</v>
      </c>
      <c r="E831" s="8" t="s">
        <v>2451</v>
      </c>
      <c r="F831" s="8" t="s">
        <v>2451</v>
      </c>
      <c r="G831" s="8" t="s">
        <v>2451</v>
      </c>
    </row>
    <row r="832" spans="1:7" outlineLevel="2" x14ac:dyDescent="0.35">
      <c r="A832" s="8" t="s">
        <v>2451</v>
      </c>
      <c r="B832" s="8" t="s">
        <v>2451</v>
      </c>
      <c r="C832" s="8"/>
      <c r="D832" s="8" t="s">
        <v>1660</v>
      </c>
      <c r="E832" s="8" t="s">
        <v>2451</v>
      </c>
      <c r="F832" s="8" t="s">
        <v>2451</v>
      </c>
      <c r="G832" s="8" t="s">
        <v>2451</v>
      </c>
    </row>
    <row r="833" spans="1:7" outlineLevel="2" x14ac:dyDescent="0.35">
      <c r="A833" s="8" t="s">
        <v>2451</v>
      </c>
      <c r="B833" s="8" t="s">
        <v>2451</v>
      </c>
      <c r="C833" s="8"/>
      <c r="D833" s="8" t="s">
        <v>1661</v>
      </c>
      <c r="E833" s="8" t="s">
        <v>2451</v>
      </c>
      <c r="F833" s="8" t="s">
        <v>2451</v>
      </c>
      <c r="G833" s="8" t="s">
        <v>2451</v>
      </c>
    </row>
    <row r="834" spans="1:7" outlineLevel="2" x14ac:dyDescent="0.35">
      <c r="A834" s="8" t="s">
        <v>2451</v>
      </c>
      <c r="B834" s="8" t="s">
        <v>2451</v>
      </c>
      <c r="C834" s="8"/>
      <c r="D834" s="8" t="s">
        <v>1662</v>
      </c>
      <c r="E834" s="8" t="s">
        <v>2451</v>
      </c>
      <c r="F834" s="8" t="s">
        <v>2451</v>
      </c>
      <c r="G834" s="8" t="s">
        <v>2451</v>
      </c>
    </row>
    <row r="835" spans="1:7" outlineLevel="2" x14ac:dyDescent="0.35">
      <c r="A835" s="8" t="s">
        <v>2451</v>
      </c>
      <c r="B835" s="8" t="s">
        <v>2451</v>
      </c>
      <c r="C835" s="8"/>
      <c r="D835" s="8" t="s">
        <v>1663</v>
      </c>
      <c r="E835" s="8" t="s">
        <v>2451</v>
      </c>
      <c r="F835" s="8" t="s">
        <v>2451</v>
      </c>
      <c r="G835" s="8" t="s">
        <v>2451</v>
      </c>
    </row>
    <row r="836" spans="1:7" outlineLevel="1" x14ac:dyDescent="0.35">
      <c r="A836" s="8" t="s">
        <v>45</v>
      </c>
      <c r="B836" s="8" t="s">
        <v>52</v>
      </c>
      <c r="C836" s="8">
        <v>6</v>
      </c>
      <c r="D836" s="8" t="s">
        <v>2451</v>
      </c>
      <c r="E836" s="8" t="s">
        <v>2451</v>
      </c>
      <c r="F836" s="8" t="s">
        <v>2451</v>
      </c>
      <c r="G836" s="8" t="s">
        <v>2451</v>
      </c>
    </row>
    <row r="837" spans="1:7" outlineLevel="2" x14ac:dyDescent="0.35">
      <c r="A837" s="8" t="s">
        <v>2451</v>
      </c>
      <c r="B837" s="8" t="s">
        <v>2451</v>
      </c>
      <c r="C837" s="8"/>
      <c r="D837" s="8" t="s">
        <v>1654</v>
      </c>
      <c r="E837" s="8" t="s">
        <v>2451</v>
      </c>
      <c r="F837" s="8" t="s">
        <v>2451</v>
      </c>
      <c r="G837" s="8" t="s">
        <v>2451</v>
      </c>
    </row>
    <row r="838" spans="1:7" outlineLevel="2" x14ac:dyDescent="0.35">
      <c r="A838" s="8" t="s">
        <v>2451</v>
      </c>
      <c r="B838" s="8" t="s">
        <v>2451</v>
      </c>
      <c r="C838" s="8"/>
      <c r="D838" s="8" t="s">
        <v>1655</v>
      </c>
      <c r="E838" s="8" t="s">
        <v>2451</v>
      </c>
      <c r="F838" s="8" t="s">
        <v>2451</v>
      </c>
      <c r="G838" s="8" t="s">
        <v>2451</v>
      </c>
    </row>
    <row r="839" spans="1:7" outlineLevel="2" x14ac:dyDescent="0.35">
      <c r="A839" s="8" t="s">
        <v>2451</v>
      </c>
      <c r="B839" s="8" t="s">
        <v>2451</v>
      </c>
      <c r="C839" s="8"/>
      <c r="D839" s="8" t="s">
        <v>1656</v>
      </c>
      <c r="E839" s="8" t="s">
        <v>2451</v>
      </c>
      <c r="F839" s="8" t="s">
        <v>2451</v>
      </c>
      <c r="G839" s="8" t="s">
        <v>2451</v>
      </c>
    </row>
    <row r="840" spans="1:7" outlineLevel="2" x14ac:dyDescent="0.35">
      <c r="A840" s="8" t="s">
        <v>2451</v>
      </c>
      <c r="B840" s="8" t="s">
        <v>2451</v>
      </c>
      <c r="C840" s="8"/>
      <c r="D840" s="8" t="s">
        <v>1657</v>
      </c>
      <c r="E840" s="8" t="s">
        <v>2451</v>
      </c>
      <c r="F840" s="8" t="s">
        <v>2451</v>
      </c>
      <c r="G840" s="8" t="s">
        <v>2451</v>
      </c>
    </row>
    <row r="841" spans="1:7" outlineLevel="2" x14ac:dyDescent="0.35">
      <c r="A841" s="8" t="s">
        <v>2451</v>
      </c>
      <c r="B841" s="8" t="s">
        <v>2451</v>
      </c>
      <c r="C841" s="8"/>
      <c r="D841" s="8" t="s">
        <v>1658</v>
      </c>
      <c r="E841" s="8" t="s">
        <v>2451</v>
      </c>
      <c r="F841" s="8" t="s">
        <v>2451</v>
      </c>
      <c r="G841" s="8" t="s">
        <v>2451</v>
      </c>
    </row>
    <row r="842" spans="1:7" outlineLevel="2" x14ac:dyDescent="0.35">
      <c r="A842" s="8" t="s">
        <v>2451</v>
      </c>
      <c r="B842" s="8" t="s">
        <v>2451</v>
      </c>
      <c r="C842" s="8"/>
      <c r="D842" s="8" t="s">
        <v>1659</v>
      </c>
      <c r="E842" s="8" t="s">
        <v>2451</v>
      </c>
      <c r="F842" s="8" t="s">
        <v>2451</v>
      </c>
      <c r="G842" s="8" t="s">
        <v>2451</v>
      </c>
    </row>
    <row r="843" spans="1:7" outlineLevel="1" x14ac:dyDescent="0.35">
      <c r="A843" s="8" t="s">
        <v>45</v>
      </c>
      <c r="B843" s="8" t="s">
        <v>58</v>
      </c>
      <c r="C843" s="8">
        <v>6</v>
      </c>
      <c r="D843" s="8" t="s">
        <v>2451</v>
      </c>
      <c r="E843" s="8" t="s">
        <v>2451</v>
      </c>
      <c r="F843" s="8" t="s">
        <v>2451</v>
      </c>
      <c r="G843" s="8" t="s">
        <v>2451</v>
      </c>
    </row>
    <row r="844" spans="1:7" outlineLevel="2" x14ac:dyDescent="0.35">
      <c r="A844" s="8" t="s">
        <v>2451</v>
      </c>
      <c r="B844" s="8" t="s">
        <v>2451</v>
      </c>
      <c r="C844" s="8"/>
      <c r="D844" s="8" t="s">
        <v>1648</v>
      </c>
      <c r="E844" s="8" t="s">
        <v>2451</v>
      </c>
      <c r="F844" s="8" t="s">
        <v>2451</v>
      </c>
      <c r="G844" s="8" t="s">
        <v>2451</v>
      </c>
    </row>
    <row r="845" spans="1:7" outlineLevel="2" x14ac:dyDescent="0.35">
      <c r="A845" s="8" t="s">
        <v>2451</v>
      </c>
      <c r="B845" s="8" t="s">
        <v>2451</v>
      </c>
      <c r="C845" s="8"/>
      <c r="D845" s="8" t="s">
        <v>1649</v>
      </c>
      <c r="E845" s="8" t="s">
        <v>2451</v>
      </c>
      <c r="F845" s="8" t="s">
        <v>2451</v>
      </c>
      <c r="G845" s="8" t="s">
        <v>2451</v>
      </c>
    </row>
    <row r="846" spans="1:7" outlineLevel="2" x14ac:dyDescent="0.35">
      <c r="A846" s="8" t="s">
        <v>2451</v>
      </c>
      <c r="B846" s="8" t="s">
        <v>2451</v>
      </c>
      <c r="C846" s="8"/>
      <c r="D846" s="8" t="s">
        <v>1650</v>
      </c>
      <c r="E846" s="8" t="s">
        <v>2451</v>
      </c>
      <c r="F846" s="8" t="s">
        <v>2451</v>
      </c>
      <c r="G846" s="8" t="s">
        <v>2451</v>
      </c>
    </row>
    <row r="847" spans="1:7" outlineLevel="2" x14ac:dyDescent="0.35">
      <c r="A847" s="8" t="s">
        <v>2451</v>
      </c>
      <c r="B847" s="8" t="s">
        <v>2451</v>
      </c>
      <c r="C847" s="8"/>
      <c r="D847" s="8" t="s">
        <v>1651</v>
      </c>
      <c r="E847" s="8" t="s">
        <v>2451</v>
      </c>
      <c r="F847" s="8" t="s">
        <v>2451</v>
      </c>
      <c r="G847" s="8" t="s">
        <v>2451</v>
      </c>
    </row>
    <row r="848" spans="1:7" outlineLevel="2" x14ac:dyDescent="0.35">
      <c r="A848" s="8" t="s">
        <v>2451</v>
      </c>
      <c r="B848" s="8" t="s">
        <v>2451</v>
      </c>
      <c r="C848" s="8"/>
      <c r="D848" s="8" t="s">
        <v>1652</v>
      </c>
      <c r="E848" s="8" t="s">
        <v>2451</v>
      </c>
      <c r="F848" s="8" t="s">
        <v>2451</v>
      </c>
      <c r="G848" s="8" t="s">
        <v>2451</v>
      </c>
    </row>
    <row r="849" spans="1:7" outlineLevel="2" x14ac:dyDescent="0.35">
      <c r="A849" s="8" t="s">
        <v>2451</v>
      </c>
      <c r="B849" s="8" t="s">
        <v>2451</v>
      </c>
      <c r="C849" s="8"/>
      <c r="D849" s="8" t="s">
        <v>1653</v>
      </c>
      <c r="E849" s="8" t="s">
        <v>2451</v>
      </c>
      <c r="F849" s="8" t="s">
        <v>2451</v>
      </c>
      <c r="G849" s="8" t="s">
        <v>2451</v>
      </c>
    </row>
    <row r="850" spans="1:7" outlineLevel="1" x14ac:dyDescent="0.35">
      <c r="A850" s="8" t="s">
        <v>64</v>
      </c>
      <c r="B850" s="8" t="s">
        <v>65</v>
      </c>
      <c r="C850" s="8">
        <v>2</v>
      </c>
      <c r="D850" s="8" t="s">
        <v>2451</v>
      </c>
      <c r="E850" s="8" t="s">
        <v>2451</v>
      </c>
      <c r="F850" s="8" t="s">
        <v>2451</v>
      </c>
      <c r="G850" s="8" t="s">
        <v>2451</v>
      </c>
    </row>
    <row r="851" spans="1:7" outlineLevel="2" x14ac:dyDescent="0.35">
      <c r="A851" s="8" t="s">
        <v>2451</v>
      </c>
      <c r="B851" s="8" t="s">
        <v>2451</v>
      </c>
      <c r="C851" s="8"/>
      <c r="D851" s="8" t="s">
        <v>1646</v>
      </c>
      <c r="E851" s="8" t="s">
        <v>2451</v>
      </c>
      <c r="F851" s="8" t="s">
        <v>2451</v>
      </c>
      <c r="G851" s="8" t="s">
        <v>2451</v>
      </c>
    </row>
    <row r="852" spans="1:7" outlineLevel="2" x14ac:dyDescent="0.35">
      <c r="A852" s="8" t="s">
        <v>2451</v>
      </c>
      <c r="B852" s="8" t="s">
        <v>2451</v>
      </c>
      <c r="C852" s="8"/>
      <c r="D852" s="8" t="s">
        <v>1647</v>
      </c>
      <c r="E852" s="8" t="s">
        <v>2451</v>
      </c>
      <c r="F852" s="8" t="s">
        <v>2451</v>
      </c>
      <c r="G852" s="8" t="s">
        <v>2451</v>
      </c>
    </row>
    <row r="853" spans="1:7" outlineLevel="1" x14ac:dyDescent="0.35">
      <c r="A853" s="8" t="s">
        <v>64</v>
      </c>
      <c r="B853" s="8" t="s">
        <v>71</v>
      </c>
      <c r="C853" s="8">
        <v>2</v>
      </c>
      <c r="D853" s="8" t="s">
        <v>2451</v>
      </c>
      <c r="E853" s="8" t="s">
        <v>2451</v>
      </c>
      <c r="F853" s="8" t="s">
        <v>2451</v>
      </c>
      <c r="G853" s="8" t="s">
        <v>2451</v>
      </c>
    </row>
    <row r="854" spans="1:7" outlineLevel="2" x14ac:dyDescent="0.35">
      <c r="A854" s="8" t="s">
        <v>2451</v>
      </c>
      <c r="B854" s="8" t="s">
        <v>2451</v>
      </c>
      <c r="C854" s="8"/>
      <c r="D854" s="8" t="s">
        <v>1644</v>
      </c>
      <c r="E854" s="8" t="s">
        <v>2451</v>
      </c>
      <c r="F854" s="8" t="s">
        <v>2451</v>
      </c>
      <c r="G854" s="8" t="s">
        <v>2451</v>
      </c>
    </row>
    <row r="855" spans="1:7" outlineLevel="2" x14ac:dyDescent="0.35">
      <c r="A855" s="8" t="s">
        <v>2451</v>
      </c>
      <c r="B855" s="8" t="s">
        <v>2451</v>
      </c>
      <c r="C855" s="8"/>
      <c r="D855" s="8" t="s">
        <v>1645</v>
      </c>
      <c r="E855" s="8" t="s">
        <v>2451</v>
      </c>
      <c r="F855" s="8" t="s">
        <v>2451</v>
      </c>
      <c r="G855" s="8" t="s">
        <v>2451</v>
      </c>
    </row>
    <row r="856" spans="1:7" outlineLevel="1" x14ac:dyDescent="0.35">
      <c r="A856" s="8" t="s">
        <v>64</v>
      </c>
      <c r="B856" s="8" t="s">
        <v>77</v>
      </c>
      <c r="C856" s="8">
        <v>2</v>
      </c>
      <c r="D856" s="8" t="s">
        <v>2451</v>
      </c>
      <c r="E856" s="8" t="s">
        <v>2451</v>
      </c>
      <c r="F856" s="8" t="s">
        <v>2451</v>
      </c>
      <c r="G856" s="8" t="s">
        <v>2451</v>
      </c>
    </row>
    <row r="857" spans="1:7" outlineLevel="2" x14ac:dyDescent="0.35">
      <c r="A857" s="8" t="s">
        <v>2451</v>
      </c>
      <c r="B857" s="8" t="s">
        <v>2451</v>
      </c>
      <c r="C857" s="8"/>
      <c r="D857" s="8" t="s">
        <v>1642</v>
      </c>
      <c r="E857" s="8" t="s">
        <v>2451</v>
      </c>
      <c r="F857" s="8" t="s">
        <v>2451</v>
      </c>
      <c r="G857" s="8" t="s">
        <v>2451</v>
      </c>
    </row>
    <row r="858" spans="1:7" outlineLevel="2" x14ac:dyDescent="0.35">
      <c r="A858" s="8" t="s">
        <v>2451</v>
      </c>
      <c r="B858" s="8" t="s">
        <v>2451</v>
      </c>
      <c r="C858" s="8"/>
      <c r="D858" s="8" t="s">
        <v>1643</v>
      </c>
      <c r="E858" s="8" t="s">
        <v>2451</v>
      </c>
      <c r="F858" s="8" t="s">
        <v>2451</v>
      </c>
      <c r="G858" s="8" t="s">
        <v>2451</v>
      </c>
    </row>
    <row r="859" spans="1:7" outlineLevel="1" x14ac:dyDescent="0.35">
      <c r="A859" s="8" t="s">
        <v>64</v>
      </c>
      <c r="B859" s="8" t="s">
        <v>82</v>
      </c>
      <c r="C859" s="8">
        <v>2</v>
      </c>
      <c r="D859" s="8" t="s">
        <v>2451</v>
      </c>
      <c r="E859" s="8" t="s">
        <v>2451</v>
      </c>
      <c r="F859" s="8" t="s">
        <v>2451</v>
      </c>
      <c r="G859" s="8" t="s">
        <v>2451</v>
      </c>
    </row>
    <row r="860" spans="1:7" outlineLevel="2" x14ac:dyDescent="0.35">
      <c r="A860" s="8" t="s">
        <v>2451</v>
      </c>
      <c r="B860" s="8" t="s">
        <v>2451</v>
      </c>
      <c r="C860" s="8"/>
      <c r="D860" s="8" t="s">
        <v>1640</v>
      </c>
      <c r="E860" s="8" t="s">
        <v>2451</v>
      </c>
      <c r="F860" s="8" t="s">
        <v>2451</v>
      </c>
      <c r="G860" s="8" t="s">
        <v>2451</v>
      </c>
    </row>
    <row r="861" spans="1:7" outlineLevel="2" x14ac:dyDescent="0.35">
      <c r="A861" s="8" t="s">
        <v>2451</v>
      </c>
      <c r="B861" s="8" t="s">
        <v>2451</v>
      </c>
      <c r="C861" s="8"/>
      <c r="D861" s="8" t="s">
        <v>1641</v>
      </c>
      <c r="E861" s="8" t="s">
        <v>2451</v>
      </c>
      <c r="F861" s="8" t="s">
        <v>2451</v>
      </c>
      <c r="G861" s="8" t="s">
        <v>2451</v>
      </c>
    </row>
    <row r="862" spans="1:7" outlineLevel="1" x14ac:dyDescent="0.35">
      <c r="A862" s="8" t="s">
        <v>64</v>
      </c>
      <c r="B862" s="8" t="s">
        <v>89</v>
      </c>
      <c r="C862" s="8">
        <v>2</v>
      </c>
      <c r="D862" s="8" t="s">
        <v>2451</v>
      </c>
      <c r="E862" s="8" t="s">
        <v>2451</v>
      </c>
      <c r="F862" s="8" t="s">
        <v>2451</v>
      </c>
      <c r="G862" s="8" t="s">
        <v>2451</v>
      </c>
    </row>
    <row r="863" spans="1:7" outlineLevel="2" x14ac:dyDescent="0.35">
      <c r="A863" s="8" t="s">
        <v>2451</v>
      </c>
      <c r="B863" s="8" t="s">
        <v>2451</v>
      </c>
      <c r="C863" s="8"/>
      <c r="D863" s="8" t="s">
        <v>1638</v>
      </c>
      <c r="E863" s="8" t="s">
        <v>2451</v>
      </c>
      <c r="F863" s="8" t="s">
        <v>2451</v>
      </c>
      <c r="G863" s="8" t="s">
        <v>2451</v>
      </c>
    </row>
    <row r="864" spans="1:7" outlineLevel="2" x14ac:dyDescent="0.35">
      <c r="A864" s="8" t="s">
        <v>2451</v>
      </c>
      <c r="B864" s="8" t="s">
        <v>2451</v>
      </c>
      <c r="C864" s="8"/>
      <c r="D864" s="8" t="s">
        <v>1639</v>
      </c>
      <c r="E864" s="8" t="s">
        <v>2451</v>
      </c>
      <c r="F864" s="8" t="s">
        <v>2451</v>
      </c>
      <c r="G864" s="8" t="s">
        <v>2451</v>
      </c>
    </row>
    <row r="865" spans="1:7" outlineLevel="1" x14ac:dyDescent="0.35">
      <c r="A865" s="8" t="s">
        <v>94</v>
      </c>
      <c r="B865" s="8" t="s">
        <v>95</v>
      </c>
      <c r="C865" s="8">
        <v>3</v>
      </c>
      <c r="D865" s="8" t="s">
        <v>2451</v>
      </c>
      <c r="E865" s="8" t="s">
        <v>2451</v>
      </c>
      <c r="F865" s="8" t="s">
        <v>2451</v>
      </c>
      <c r="G865" s="8" t="s">
        <v>2451</v>
      </c>
    </row>
    <row r="866" spans="1:7" outlineLevel="2" x14ac:dyDescent="0.35">
      <c r="A866" s="8" t="s">
        <v>2451</v>
      </c>
      <c r="B866" s="8" t="s">
        <v>2451</v>
      </c>
      <c r="C866" s="8"/>
      <c r="D866" s="8" t="s">
        <v>1635</v>
      </c>
      <c r="E866" s="8" t="s">
        <v>2451</v>
      </c>
      <c r="F866" s="8" t="s">
        <v>2451</v>
      </c>
      <c r="G866" s="8" t="s">
        <v>2451</v>
      </c>
    </row>
    <row r="867" spans="1:7" outlineLevel="2" x14ac:dyDescent="0.35">
      <c r="A867" s="8" t="s">
        <v>2451</v>
      </c>
      <c r="B867" s="8" t="s">
        <v>2451</v>
      </c>
      <c r="C867" s="8"/>
      <c r="D867" s="8" t="s">
        <v>1636</v>
      </c>
      <c r="E867" s="8" t="s">
        <v>2451</v>
      </c>
      <c r="F867" s="8" t="s">
        <v>2451</v>
      </c>
      <c r="G867" s="8" t="s">
        <v>2451</v>
      </c>
    </row>
    <row r="868" spans="1:7" outlineLevel="2" x14ac:dyDescent="0.35">
      <c r="A868" s="8" t="s">
        <v>2451</v>
      </c>
      <c r="B868" s="8" t="s">
        <v>2451</v>
      </c>
      <c r="C868" s="8"/>
      <c r="D868" s="8" t="s">
        <v>1637</v>
      </c>
      <c r="E868" s="8" t="s">
        <v>2451</v>
      </c>
      <c r="F868" s="8" t="s">
        <v>2451</v>
      </c>
      <c r="G868" s="8" t="s">
        <v>2451</v>
      </c>
    </row>
    <row r="869" spans="1:7" outlineLevel="1" x14ac:dyDescent="0.35">
      <c r="A869" s="8" t="s">
        <v>94</v>
      </c>
      <c r="B869" s="8" t="s">
        <v>98</v>
      </c>
      <c r="C869" s="8">
        <v>2</v>
      </c>
      <c r="D869" s="8" t="s">
        <v>2451</v>
      </c>
      <c r="E869" s="8" t="s">
        <v>2451</v>
      </c>
      <c r="F869" s="8" t="s">
        <v>2451</v>
      </c>
      <c r="G869" s="8" t="s">
        <v>2451</v>
      </c>
    </row>
    <row r="870" spans="1:7" outlineLevel="2" x14ac:dyDescent="0.35">
      <c r="A870" s="8" t="s">
        <v>2451</v>
      </c>
      <c r="B870" s="8" t="s">
        <v>2451</v>
      </c>
      <c r="C870" s="8"/>
      <c r="D870" s="8" t="s">
        <v>1633</v>
      </c>
      <c r="E870" s="8" t="s">
        <v>2451</v>
      </c>
      <c r="F870" s="8" t="s">
        <v>2451</v>
      </c>
      <c r="G870" s="8" t="s">
        <v>2451</v>
      </c>
    </row>
    <row r="871" spans="1:7" outlineLevel="2" x14ac:dyDescent="0.35">
      <c r="A871" s="8" t="s">
        <v>2451</v>
      </c>
      <c r="B871" s="8" t="s">
        <v>2451</v>
      </c>
      <c r="C871" s="8"/>
      <c r="D871" s="8" t="s">
        <v>1634</v>
      </c>
      <c r="E871" s="8" t="s">
        <v>2451</v>
      </c>
      <c r="F871" s="8" t="s">
        <v>2451</v>
      </c>
      <c r="G871" s="8" t="s">
        <v>2451</v>
      </c>
    </row>
    <row r="872" spans="1:7" outlineLevel="1" x14ac:dyDescent="0.35">
      <c r="A872" s="8" t="s">
        <v>94</v>
      </c>
      <c r="B872" s="8" t="s">
        <v>102</v>
      </c>
      <c r="C872" s="8">
        <v>4</v>
      </c>
      <c r="D872" s="8" t="s">
        <v>2451</v>
      </c>
      <c r="E872" s="8" t="s">
        <v>2451</v>
      </c>
      <c r="F872" s="8" t="s">
        <v>2451</v>
      </c>
      <c r="G872" s="8" t="s">
        <v>2451</v>
      </c>
    </row>
    <row r="873" spans="1:7" outlineLevel="2" x14ac:dyDescent="0.35">
      <c r="A873" s="8" t="s">
        <v>2451</v>
      </c>
      <c r="B873" s="8" t="s">
        <v>2451</v>
      </c>
      <c r="C873" s="8"/>
      <c r="D873" s="8" t="s">
        <v>1629</v>
      </c>
      <c r="E873" s="8" t="s">
        <v>2451</v>
      </c>
      <c r="F873" s="8" t="s">
        <v>2451</v>
      </c>
      <c r="G873" s="8" t="s">
        <v>2451</v>
      </c>
    </row>
    <row r="874" spans="1:7" outlineLevel="2" x14ac:dyDescent="0.35">
      <c r="A874" s="8" t="s">
        <v>2451</v>
      </c>
      <c r="B874" s="8" t="s">
        <v>2451</v>
      </c>
      <c r="C874" s="8"/>
      <c r="D874" s="8" t="s">
        <v>1630</v>
      </c>
      <c r="E874" s="8" t="s">
        <v>2451</v>
      </c>
      <c r="F874" s="8" t="s">
        <v>2451</v>
      </c>
      <c r="G874" s="8" t="s">
        <v>2451</v>
      </c>
    </row>
    <row r="875" spans="1:7" outlineLevel="2" x14ac:dyDescent="0.35">
      <c r="A875" s="8" t="s">
        <v>2451</v>
      </c>
      <c r="B875" s="8" t="s">
        <v>2451</v>
      </c>
      <c r="C875" s="8"/>
      <c r="D875" s="8" t="s">
        <v>1631</v>
      </c>
      <c r="E875" s="8" t="s">
        <v>2451</v>
      </c>
      <c r="F875" s="8" t="s">
        <v>2451</v>
      </c>
      <c r="G875" s="8" t="s">
        <v>2451</v>
      </c>
    </row>
    <row r="876" spans="1:7" outlineLevel="2" x14ac:dyDescent="0.35">
      <c r="A876" s="8" t="s">
        <v>2451</v>
      </c>
      <c r="B876" s="8" t="s">
        <v>2451</v>
      </c>
      <c r="C876" s="8"/>
      <c r="D876" s="8" t="s">
        <v>1632</v>
      </c>
      <c r="E876" s="8" t="s">
        <v>2451</v>
      </c>
      <c r="F876" s="8" t="s">
        <v>2451</v>
      </c>
      <c r="G876" s="8" t="s">
        <v>2451</v>
      </c>
    </row>
    <row r="877" spans="1:7" outlineLevel="1" x14ac:dyDescent="0.35">
      <c r="A877" s="8" t="s">
        <v>94</v>
      </c>
      <c r="B877" s="8" t="s">
        <v>106</v>
      </c>
      <c r="C877" s="8">
        <v>2</v>
      </c>
      <c r="D877" s="8" t="s">
        <v>2451</v>
      </c>
      <c r="E877" s="8" t="s">
        <v>2451</v>
      </c>
      <c r="F877" s="8" t="s">
        <v>2451</v>
      </c>
      <c r="G877" s="8" t="s">
        <v>2451</v>
      </c>
    </row>
    <row r="878" spans="1:7" outlineLevel="2" x14ac:dyDescent="0.35">
      <c r="A878" s="8" t="s">
        <v>2451</v>
      </c>
      <c r="B878" s="8" t="s">
        <v>2451</v>
      </c>
      <c r="C878" s="8"/>
      <c r="D878" s="8" t="s">
        <v>1627</v>
      </c>
      <c r="E878" s="8" t="s">
        <v>2451</v>
      </c>
      <c r="F878" s="8" t="s">
        <v>2451</v>
      </c>
      <c r="G878" s="8" t="s">
        <v>2451</v>
      </c>
    </row>
    <row r="879" spans="1:7" outlineLevel="2" x14ac:dyDescent="0.35">
      <c r="A879" s="8" t="s">
        <v>2451</v>
      </c>
      <c r="B879" s="8" t="s">
        <v>2451</v>
      </c>
      <c r="C879" s="8"/>
      <c r="D879" s="8" t="s">
        <v>1628</v>
      </c>
      <c r="E879" s="8" t="s">
        <v>2451</v>
      </c>
      <c r="F879" s="8" t="s">
        <v>2451</v>
      </c>
      <c r="G879" s="8" t="s">
        <v>2451</v>
      </c>
    </row>
    <row r="880" spans="1:7" outlineLevel="1" x14ac:dyDescent="0.35">
      <c r="A880" s="8" t="s">
        <v>94</v>
      </c>
      <c r="B880" s="8" t="s">
        <v>112</v>
      </c>
      <c r="C880" s="8">
        <v>2</v>
      </c>
      <c r="D880" s="8" t="s">
        <v>2451</v>
      </c>
      <c r="E880" s="8" t="s">
        <v>2451</v>
      </c>
      <c r="F880" s="8" t="s">
        <v>2451</v>
      </c>
      <c r="G880" s="8" t="s">
        <v>2451</v>
      </c>
    </row>
    <row r="881" spans="1:7" outlineLevel="2" x14ac:dyDescent="0.35">
      <c r="A881" s="8" t="s">
        <v>2451</v>
      </c>
      <c r="B881" s="8" t="s">
        <v>2451</v>
      </c>
      <c r="C881" s="8"/>
      <c r="D881" s="8" t="s">
        <v>1625</v>
      </c>
      <c r="E881" s="8" t="s">
        <v>2451</v>
      </c>
      <c r="F881" s="8" t="s">
        <v>2451</v>
      </c>
      <c r="G881" s="8" t="s">
        <v>2451</v>
      </c>
    </row>
    <row r="882" spans="1:7" outlineLevel="2" x14ac:dyDescent="0.35">
      <c r="A882" s="8" t="s">
        <v>2451</v>
      </c>
      <c r="B882" s="8" t="s">
        <v>2451</v>
      </c>
      <c r="C882" s="8"/>
      <c r="D882" s="8" t="s">
        <v>1626</v>
      </c>
      <c r="E882" s="8" t="s">
        <v>2451</v>
      </c>
      <c r="F882" s="8" t="s">
        <v>2451</v>
      </c>
      <c r="G882" s="8" t="s">
        <v>2451</v>
      </c>
    </row>
    <row r="883" spans="1:7" outlineLevel="1" x14ac:dyDescent="0.35">
      <c r="A883" s="8" t="s">
        <v>94</v>
      </c>
      <c r="B883" s="8" t="s">
        <v>116</v>
      </c>
      <c r="C883" s="8">
        <v>6</v>
      </c>
      <c r="D883" s="8" t="s">
        <v>2451</v>
      </c>
      <c r="E883" s="8" t="s">
        <v>2451</v>
      </c>
      <c r="F883" s="8" t="s">
        <v>2451</v>
      </c>
      <c r="G883" s="8" t="s">
        <v>2451</v>
      </c>
    </row>
    <row r="884" spans="1:7" outlineLevel="2" x14ac:dyDescent="0.35">
      <c r="A884" s="8" t="s">
        <v>2451</v>
      </c>
      <c r="B884" s="8" t="s">
        <v>2451</v>
      </c>
      <c r="C884" s="8"/>
      <c r="D884" s="8" t="s">
        <v>1619</v>
      </c>
      <c r="E884" s="8" t="s">
        <v>2451</v>
      </c>
      <c r="F884" s="8" t="s">
        <v>2451</v>
      </c>
      <c r="G884" s="8" t="s">
        <v>2451</v>
      </c>
    </row>
    <row r="885" spans="1:7" outlineLevel="2" x14ac:dyDescent="0.35">
      <c r="A885" s="8" t="s">
        <v>2451</v>
      </c>
      <c r="B885" s="8" t="s">
        <v>2451</v>
      </c>
      <c r="C885" s="8"/>
      <c r="D885" s="8" t="s">
        <v>1620</v>
      </c>
      <c r="E885" s="8" t="s">
        <v>2451</v>
      </c>
      <c r="F885" s="8" t="s">
        <v>2451</v>
      </c>
      <c r="G885" s="8" t="s">
        <v>2451</v>
      </c>
    </row>
    <row r="886" spans="1:7" outlineLevel="2" x14ac:dyDescent="0.35">
      <c r="A886" s="8" t="s">
        <v>2451</v>
      </c>
      <c r="B886" s="8" t="s">
        <v>2451</v>
      </c>
      <c r="C886" s="8"/>
      <c r="D886" s="8" t="s">
        <v>1621</v>
      </c>
      <c r="E886" s="8" t="s">
        <v>2451</v>
      </c>
      <c r="F886" s="8" t="s">
        <v>2451</v>
      </c>
      <c r="G886" s="8" t="s">
        <v>2451</v>
      </c>
    </row>
    <row r="887" spans="1:7" outlineLevel="2" x14ac:dyDescent="0.35">
      <c r="A887" s="8" t="s">
        <v>2451</v>
      </c>
      <c r="B887" s="8" t="s">
        <v>2451</v>
      </c>
      <c r="C887" s="8"/>
      <c r="D887" s="8" t="s">
        <v>1622</v>
      </c>
      <c r="E887" s="8" t="s">
        <v>2451</v>
      </c>
      <c r="F887" s="8" t="s">
        <v>2451</v>
      </c>
      <c r="G887" s="8" t="s">
        <v>2451</v>
      </c>
    </row>
    <row r="888" spans="1:7" outlineLevel="2" x14ac:dyDescent="0.35">
      <c r="A888" s="8" t="s">
        <v>2451</v>
      </c>
      <c r="B888" s="8" t="s">
        <v>2451</v>
      </c>
      <c r="C888" s="8"/>
      <c r="D888" s="8" t="s">
        <v>1623</v>
      </c>
      <c r="E888" s="8" t="s">
        <v>2451</v>
      </c>
      <c r="F888" s="8" t="s">
        <v>2451</v>
      </c>
      <c r="G888" s="8" t="s">
        <v>2451</v>
      </c>
    </row>
    <row r="889" spans="1:7" outlineLevel="2" x14ac:dyDescent="0.35">
      <c r="A889" s="8" t="s">
        <v>2451</v>
      </c>
      <c r="B889" s="8" t="s">
        <v>2451</v>
      </c>
      <c r="C889" s="8"/>
      <c r="D889" s="8" t="s">
        <v>1624</v>
      </c>
      <c r="E889" s="8" t="s">
        <v>2451</v>
      </c>
      <c r="F889" s="8" t="s">
        <v>2451</v>
      </c>
      <c r="G889" s="8" t="s">
        <v>2451</v>
      </c>
    </row>
    <row r="890" spans="1:7" outlineLevel="1" x14ac:dyDescent="0.35">
      <c r="A890" s="8" t="s">
        <v>94</v>
      </c>
      <c r="B890" s="8" t="s">
        <v>121</v>
      </c>
      <c r="C890" s="8">
        <v>6</v>
      </c>
      <c r="D890" s="8" t="s">
        <v>2451</v>
      </c>
      <c r="E890" s="8" t="s">
        <v>2451</v>
      </c>
      <c r="F890" s="8" t="s">
        <v>2451</v>
      </c>
      <c r="G890" s="8" t="s">
        <v>2451</v>
      </c>
    </row>
    <row r="891" spans="1:7" outlineLevel="2" x14ac:dyDescent="0.35">
      <c r="A891" s="8" t="s">
        <v>2451</v>
      </c>
      <c r="B891" s="8" t="s">
        <v>2451</v>
      </c>
      <c r="C891" s="8"/>
      <c r="D891" s="8" t="s">
        <v>1613</v>
      </c>
      <c r="E891" s="8" t="s">
        <v>2451</v>
      </c>
      <c r="F891" s="8" t="s">
        <v>2451</v>
      </c>
      <c r="G891" s="8" t="s">
        <v>2451</v>
      </c>
    </row>
    <row r="892" spans="1:7" outlineLevel="2" x14ac:dyDescent="0.35">
      <c r="A892" s="8" t="s">
        <v>2451</v>
      </c>
      <c r="B892" s="8" t="s">
        <v>2451</v>
      </c>
      <c r="C892" s="8"/>
      <c r="D892" s="8" t="s">
        <v>1614</v>
      </c>
      <c r="E892" s="8" t="s">
        <v>2451</v>
      </c>
      <c r="F892" s="8" t="s">
        <v>2451</v>
      </c>
      <c r="G892" s="8" t="s">
        <v>2451</v>
      </c>
    </row>
    <row r="893" spans="1:7" outlineLevel="2" x14ac:dyDescent="0.35">
      <c r="A893" s="8" t="s">
        <v>2451</v>
      </c>
      <c r="B893" s="8" t="s">
        <v>2451</v>
      </c>
      <c r="C893" s="8"/>
      <c r="D893" s="8" t="s">
        <v>1615</v>
      </c>
      <c r="E893" s="8" t="s">
        <v>2451</v>
      </c>
      <c r="F893" s="8" t="s">
        <v>2451</v>
      </c>
      <c r="G893" s="8" t="s">
        <v>2451</v>
      </c>
    </row>
    <row r="894" spans="1:7" outlineLevel="2" x14ac:dyDescent="0.35">
      <c r="A894" s="8" t="s">
        <v>2451</v>
      </c>
      <c r="B894" s="8" t="s">
        <v>2451</v>
      </c>
      <c r="C894" s="8"/>
      <c r="D894" s="8" t="s">
        <v>1616</v>
      </c>
      <c r="E894" s="8" t="s">
        <v>2451</v>
      </c>
      <c r="F894" s="8" t="s">
        <v>2451</v>
      </c>
      <c r="G894" s="8" t="s">
        <v>2451</v>
      </c>
    </row>
    <row r="895" spans="1:7" outlineLevel="2" x14ac:dyDescent="0.35">
      <c r="A895" s="8" t="s">
        <v>2451</v>
      </c>
      <c r="B895" s="8" t="s">
        <v>2451</v>
      </c>
      <c r="C895" s="8"/>
      <c r="D895" s="8" t="s">
        <v>1617</v>
      </c>
      <c r="E895" s="8" t="s">
        <v>2451</v>
      </c>
      <c r="F895" s="8" t="s">
        <v>2451</v>
      </c>
      <c r="G895" s="8" t="s">
        <v>2451</v>
      </c>
    </row>
    <row r="896" spans="1:7" outlineLevel="2" x14ac:dyDescent="0.35">
      <c r="A896" s="8" t="s">
        <v>2451</v>
      </c>
      <c r="B896" s="8" t="s">
        <v>2451</v>
      </c>
      <c r="C896" s="8"/>
      <c r="D896" s="8" t="s">
        <v>1618</v>
      </c>
      <c r="E896" s="8" t="s">
        <v>2451</v>
      </c>
      <c r="F896" s="8" t="s">
        <v>2451</v>
      </c>
      <c r="G896" s="8" t="s">
        <v>2451</v>
      </c>
    </row>
    <row r="897" spans="1:7" outlineLevel="1" x14ac:dyDescent="0.35">
      <c r="A897" s="8" t="s">
        <v>94</v>
      </c>
      <c r="B897" s="8" t="s">
        <v>127</v>
      </c>
      <c r="C897" s="8">
        <v>3</v>
      </c>
      <c r="D897" s="8" t="s">
        <v>2451</v>
      </c>
      <c r="E897" s="8" t="s">
        <v>2451</v>
      </c>
      <c r="F897" s="8" t="s">
        <v>2451</v>
      </c>
      <c r="G897" s="8" t="s">
        <v>2451</v>
      </c>
    </row>
    <row r="898" spans="1:7" outlineLevel="2" x14ac:dyDescent="0.35">
      <c r="A898" s="8" t="s">
        <v>2451</v>
      </c>
      <c r="B898" s="8" t="s">
        <v>2451</v>
      </c>
      <c r="C898" s="8"/>
      <c r="D898" s="8" t="s">
        <v>1610</v>
      </c>
      <c r="E898" s="8" t="s">
        <v>2451</v>
      </c>
      <c r="F898" s="8" t="s">
        <v>2451</v>
      </c>
      <c r="G898" s="8" t="s">
        <v>2451</v>
      </c>
    </row>
    <row r="899" spans="1:7" outlineLevel="2" x14ac:dyDescent="0.35">
      <c r="A899" s="8" t="s">
        <v>2451</v>
      </c>
      <c r="B899" s="8" t="s">
        <v>2451</v>
      </c>
      <c r="C899" s="8"/>
      <c r="D899" s="8" t="s">
        <v>1611</v>
      </c>
      <c r="E899" s="8" t="s">
        <v>2451</v>
      </c>
      <c r="F899" s="8" t="s">
        <v>2451</v>
      </c>
      <c r="G899" s="8" t="s">
        <v>2451</v>
      </c>
    </row>
    <row r="900" spans="1:7" outlineLevel="2" x14ac:dyDescent="0.35">
      <c r="A900" s="8" t="s">
        <v>2451</v>
      </c>
      <c r="B900" s="8" t="s">
        <v>2451</v>
      </c>
      <c r="C900" s="8"/>
      <c r="D900" s="8" t="s">
        <v>1612</v>
      </c>
      <c r="E900" s="8" t="s">
        <v>2451</v>
      </c>
      <c r="F900" s="8" t="s">
        <v>2451</v>
      </c>
      <c r="G900" s="8" t="s">
        <v>2451</v>
      </c>
    </row>
    <row r="901" spans="1:7" outlineLevel="1" x14ac:dyDescent="0.35">
      <c r="A901" s="8" t="s">
        <v>133</v>
      </c>
      <c r="B901" s="8" t="s">
        <v>134</v>
      </c>
      <c r="C901" s="8">
        <v>1</v>
      </c>
      <c r="D901" s="8" t="s">
        <v>2451</v>
      </c>
      <c r="E901" s="8" t="s">
        <v>2451</v>
      </c>
      <c r="F901" s="8" t="s">
        <v>2451</v>
      </c>
      <c r="G901" s="8" t="s">
        <v>2451</v>
      </c>
    </row>
    <row r="902" spans="1:7" outlineLevel="1" x14ac:dyDescent="0.35">
      <c r="A902" s="8" t="s">
        <v>2451</v>
      </c>
      <c r="B902" s="8" t="s">
        <v>2451</v>
      </c>
      <c r="C902" s="8"/>
      <c r="D902" s="8" t="s">
        <v>1609</v>
      </c>
      <c r="E902" s="8" t="s">
        <v>2451</v>
      </c>
      <c r="F902" s="8" t="s">
        <v>2451</v>
      </c>
      <c r="G902" s="8" t="s">
        <v>2451</v>
      </c>
    </row>
    <row r="903" spans="1:7" outlineLevel="1" x14ac:dyDescent="0.35">
      <c r="A903" s="8" t="s">
        <v>138</v>
      </c>
      <c r="B903" s="8" t="s">
        <v>139</v>
      </c>
      <c r="C903" s="8">
        <v>2</v>
      </c>
      <c r="D903" s="8" t="s">
        <v>2451</v>
      </c>
      <c r="E903" s="8" t="s">
        <v>2451</v>
      </c>
      <c r="F903" s="8" t="s">
        <v>2451</v>
      </c>
      <c r="G903" s="8" t="s">
        <v>2451</v>
      </c>
    </row>
    <row r="904" spans="1:7" outlineLevel="2" x14ac:dyDescent="0.35">
      <c r="A904" s="8" t="s">
        <v>2451</v>
      </c>
      <c r="B904" s="8" t="s">
        <v>2451</v>
      </c>
      <c r="C904" s="8"/>
      <c r="D904" s="8" t="s">
        <v>1607</v>
      </c>
      <c r="E904" s="8" t="s">
        <v>2451</v>
      </c>
      <c r="F904" s="8" t="s">
        <v>2451</v>
      </c>
      <c r="G904" s="8" t="s">
        <v>2451</v>
      </c>
    </row>
    <row r="905" spans="1:7" outlineLevel="2" x14ac:dyDescent="0.35">
      <c r="A905" s="8" t="s">
        <v>2451</v>
      </c>
      <c r="B905" s="8" t="s">
        <v>2451</v>
      </c>
      <c r="C905" s="8"/>
      <c r="D905" s="8" t="s">
        <v>1608</v>
      </c>
      <c r="E905" s="8" t="s">
        <v>2451</v>
      </c>
      <c r="F905" s="8" t="s">
        <v>2451</v>
      </c>
      <c r="G905" s="8" t="s">
        <v>2451</v>
      </c>
    </row>
    <row r="906" spans="1:7" outlineLevel="1" x14ac:dyDescent="0.35">
      <c r="A906" s="8" t="s">
        <v>133</v>
      </c>
      <c r="B906" s="8" t="s">
        <v>144</v>
      </c>
      <c r="C906" s="8">
        <v>3</v>
      </c>
      <c r="D906" s="8" t="s">
        <v>2451</v>
      </c>
      <c r="E906" s="8" t="s">
        <v>2451</v>
      </c>
      <c r="F906" s="8" t="s">
        <v>2451</v>
      </c>
      <c r="G906" s="8" t="s">
        <v>2451</v>
      </c>
    </row>
    <row r="907" spans="1:7" outlineLevel="2" x14ac:dyDescent="0.35">
      <c r="A907" s="8" t="s">
        <v>2451</v>
      </c>
      <c r="B907" s="8" t="s">
        <v>2451</v>
      </c>
      <c r="C907" s="8"/>
      <c r="D907" s="8" t="s">
        <v>1604</v>
      </c>
      <c r="E907" s="8" t="s">
        <v>2451</v>
      </c>
      <c r="F907" s="8" t="s">
        <v>2451</v>
      </c>
      <c r="G907" s="8" t="s">
        <v>2451</v>
      </c>
    </row>
    <row r="908" spans="1:7" outlineLevel="2" x14ac:dyDescent="0.35">
      <c r="A908" s="8" t="s">
        <v>2451</v>
      </c>
      <c r="B908" s="8" t="s">
        <v>2451</v>
      </c>
      <c r="C908" s="8"/>
      <c r="D908" s="8" t="s">
        <v>1605</v>
      </c>
      <c r="E908" s="8" t="s">
        <v>2451</v>
      </c>
      <c r="F908" s="8" t="s">
        <v>2451</v>
      </c>
      <c r="G908" s="8" t="s">
        <v>2451</v>
      </c>
    </row>
    <row r="909" spans="1:7" outlineLevel="2" x14ac:dyDescent="0.35">
      <c r="A909" s="8" t="s">
        <v>2451</v>
      </c>
      <c r="B909" s="8" t="s">
        <v>2451</v>
      </c>
      <c r="C909" s="8"/>
      <c r="D909" s="8" t="s">
        <v>1606</v>
      </c>
      <c r="E909" s="8" t="s">
        <v>2451</v>
      </c>
      <c r="F909" s="8" t="s">
        <v>2451</v>
      </c>
      <c r="G909" s="8" t="s">
        <v>2451</v>
      </c>
    </row>
    <row r="910" spans="1:7" outlineLevel="1" x14ac:dyDescent="0.35">
      <c r="A910" s="8" t="s">
        <v>149</v>
      </c>
      <c r="B910" s="8" t="s">
        <v>150</v>
      </c>
      <c r="C910" s="8">
        <v>2</v>
      </c>
      <c r="D910" s="8" t="s">
        <v>2451</v>
      </c>
      <c r="E910" s="8" t="s">
        <v>2451</v>
      </c>
      <c r="F910" s="8" t="s">
        <v>2451</v>
      </c>
      <c r="G910" s="8" t="s">
        <v>2451</v>
      </c>
    </row>
    <row r="911" spans="1:7" outlineLevel="2" x14ac:dyDescent="0.35">
      <c r="A911" s="8" t="s">
        <v>2451</v>
      </c>
      <c r="B911" s="8" t="s">
        <v>2451</v>
      </c>
      <c r="C911" s="8"/>
      <c r="D911" s="8" t="s">
        <v>1602</v>
      </c>
      <c r="E911" s="8" t="s">
        <v>2451</v>
      </c>
      <c r="F911" s="8" t="s">
        <v>2451</v>
      </c>
      <c r="G911" s="8" t="s">
        <v>2451</v>
      </c>
    </row>
    <row r="912" spans="1:7" outlineLevel="2" x14ac:dyDescent="0.35">
      <c r="A912" s="8" t="s">
        <v>2451</v>
      </c>
      <c r="B912" s="8" t="s">
        <v>2451</v>
      </c>
      <c r="C912" s="8"/>
      <c r="D912" s="8" t="s">
        <v>1603</v>
      </c>
      <c r="E912" s="8" t="s">
        <v>2451</v>
      </c>
      <c r="F912" s="8" t="s">
        <v>2451</v>
      </c>
      <c r="G912" s="8" t="s">
        <v>2451</v>
      </c>
    </row>
    <row r="913" spans="1:7" outlineLevel="1" x14ac:dyDescent="0.35">
      <c r="A913" s="8" t="s">
        <v>154</v>
      </c>
      <c r="B913" s="8" t="s">
        <v>155</v>
      </c>
      <c r="C913" s="8">
        <v>4</v>
      </c>
      <c r="D913" s="8" t="s">
        <v>2451</v>
      </c>
      <c r="E913" s="8" t="s">
        <v>2451</v>
      </c>
      <c r="F913" s="8" t="s">
        <v>2451</v>
      </c>
      <c r="G913" s="8" t="s">
        <v>2451</v>
      </c>
    </row>
    <row r="914" spans="1:7" outlineLevel="2" x14ac:dyDescent="0.35">
      <c r="A914" s="8" t="s">
        <v>2451</v>
      </c>
      <c r="B914" s="8" t="s">
        <v>2451</v>
      </c>
      <c r="C914" s="8"/>
      <c r="D914" s="8" t="s">
        <v>1598</v>
      </c>
      <c r="E914" s="8" t="s">
        <v>2451</v>
      </c>
      <c r="F914" s="8" t="s">
        <v>2451</v>
      </c>
      <c r="G914" s="8" t="s">
        <v>2451</v>
      </c>
    </row>
    <row r="915" spans="1:7" outlineLevel="2" x14ac:dyDescent="0.35">
      <c r="A915" s="8" t="s">
        <v>2451</v>
      </c>
      <c r="B915" s="8" t="s">
        <v>2451</v>
      </c>
      <c r="C915" s="8"/>
      <c r="D915" s="8" t="s">
        <v>1599</v>
      </c>
      <c r="E915" s="8" t="s">
        <v>2451</v>
      </c>
      <c r="F915" s="8" t="s">
        <v>2451</v>
      </c>
      <c r="G915" s="8" t="s">
        <v>2451</v>
      </c>
    </row>
    <row r="916" spans="1:7" outlineLevel="2" x14ac:dyDescent="0.35">
      <c r="A916" s="8" t="s">
        <v>2451</v>
      </c>
      <c r="B916" s="8" t="s">
        <v>2451</v>
      </c>
      <c r="C916" s="8"/>
      <c r="D916" s="8" t="s">
        <v>1600</v>
      </c>
      <c r="E916" s="8" t="s">
        <v>2451</v>
      </c>
      <c r="F916" s="8" t="s">
        <v>2451</v>
      </c>
      <c r="G916" s="8" t="s">
        <v>2451</v>
      </c>
    </row>
    <row r="917" spans="1:7" outlineLevel="2" x14ac:dyDescent="0.35">
      <c r="A917" s="8" t="s">
        <v>2451</v>
      </c>
      <c r="B917" s="8" t="s">
        <v>2451</v>
      </c>
      <c r="C917" s="8"/>
      <c r="D917" s="8" t="s">
        <v>1601</v>
      </c>
      <c r="E917" s="8" t="s">
        <v>2451</v>
      </c>
      <c r="F917" s="8" t="s">
        <v>2451</v>
      </c>
      <c r="G917" s="8" t="s">
        <v>2451</v>
      </c>
    </row>
    <row r="918" spans="1:7" outlineLevel="1" x14ac:dyDescent="0.35">
      <c r="A918" s="8" t="s">
        <v>154</v>
      </c>
      <c r="B918" s="8" t="s">
        <v>161</v>
      </c>
      <c r="C918" s="8">
        <v>3</v>
      </c>
      <c r="D918" s="8" t="s">
        <v>2451</v>
      </c>
      <c r="E918" s="8" t="s">
        <v>2451</v>
      </c>
      <c r="F918" s="8" t="s">
        <v>2451</v>
      </c>
      <c r="G918" s="8" t="s">
        <v>2451</v>
      </c>
    </row>
    <row r="919" spans="1:7" outlineLevel="2" x14ac:dyDescent="0.35">
      <c r="A919" s="8" t="s">
        <v>2451</v>
      </c>
      <c r="B919" s="8" t="s">
        <v>2451</v>
      </c>
      <c r="C919" s="8"/>
      <c r="D919" s="8" t="s">
        <v>1595</v>
      </c>
      <c r="E919" s="8" t="s">
        <v>2451</v>
      </c>
      <c r="F919" s="8" t="s">
        <v>2451</v>
      </c>
      <c r="G919" s="8" t="s">
        <v>2451</v>
      </c>
    </row>
    <row r="920" spans="1:7" outlineLevel="2" x14ac:dyDescent="0.35">
      <c r="A920" s="8" t="s">
        <v>2451</v>
      </c>
      <c r="B920" s="8" t="s">
        <v>2451</v>
      </c>
      <c r="C920" s="8"/>
      <c r="D920" s="8" t="s">
        <v>1596</v>
      </c>
      <c r="E920" s="8" t="s">
        <v>2451</v>
      </c>
      <c r="F920" s="8" t="s">
        <v>2451</v>
      </c>
      <c r="G920" s="8" t="s">
        <v>2451</v>
      </c>
    </row>
    <row r="921" spans="1:7" outlineLevel="2" x14ac:dyDescent="0.35">
      <c r="A921" s="8" t="s">
        <v>2451</v>
      </c>
      <c r="B921" s="8" t="s">
        <v>2451</v>
      </c>
      <c r="C921" s="8"/>
      <c r="D921" s="8" t="s">
        <v>1597</v>
      </c>
      <c r="E921" s="8" t="s">
        <v>2451</v>
      </c>
      <c r="F921" s="8" t="s">
        <v>2451</v>
      </c>
      <c r="G921" s="8" t="s">
        <v>2451</v>
      </c>
    </row>
    <row r="922" spans="1:7" outlineLevel="1" x14ac:dyDescent="0.35">
      <c r="A922" s="8" t="s">
        <v>154</v>
      </c>
      <c r="B922" s="8" t="s">
        <v>165</v>
      </c>
      <c r="C922" s="8">
        <v>6</v>
      </c>
      <c r="D922" s="8" t="s">
        <v>2451</v>
      </c>
      <c r="E922" s="8" t="s">
        <v>2451</v>
      </c>
      <c r="F922" s="8" t="s">
        <v>2451</v>
      </c>
      <c r="G922" s="8" t="s">
        <v>2451</v>
      </c>
    </row>
    <row r="923" spans="1:7" outlineLevel="2" x14ac:dyDescent="0.35">
      <c r="A923" s="8" t="s">
        <v>2451</v>
      </c>
      <c r="B923" s="8" t="s">
        <v>2451</v>
      </c>
      <c r="C923" s="8"/>
      <c r="D923" s="8" t="s">
        <v>1589</v>
      </c>
      <c r="E923" s="8" t="s">
        <v>2451</v>
      </c>
      <c r="F923" s="8" t="s">
        <v>2451</v>
      </c>
      <c r="G923" s="8" t="s">
        <v>2451</v>
      </c>
    </row>
    <row r="924" spans="1:7" outlineLevel="2" x14ac:dyDescent="0.35">
      <c r="A924" s="8" t="s">
        <v>2451</v>
      </c>
      <c r="B924" s="8" t="s">
        <v>2451</v>
      </c>
      <c r="C924" s="8"/>
      <c r="D924" s="8" t="s">
        <v>1590</v>
      </c>
      <c r="E924" s="8" t="s">
        <v>2451</v>
      </c>
      <c r="F924" s="8" t="s">
        <v>2451</v>
      </c>
      <c r="G924" s="8" t="s">
        <v>2451</v>
      </c>
    </row>
    <row r="925" spans="1:7" outlineLevel="2" x14ac:dyDescent="0.35">
      <c r="A925" s="8" t="s">
        <v>2451</v>
      </c>
      <c r="B925" s="8" t="s">
        <v>2451</v>
      </c>
      <c r="C925" s="8"/>
      <c r="D925" s="8" t="s">
        <v>1591</v>
      </c>
      <c r="E925" s="8" t="s">
        <v>2451</v>
      </c>
      <c r="F925" s="8" t="s">
        <v>2451</v>
      </c>
      <c r="G925" s="8" t="s">
        <v>2451</v>
      </c>
    </row>
    <row r="926" spans="1:7" outlineLevel="2" x14ac:dyDescent="0.35">
      <c r="A926" s="8" t="s">
        <v>2451</v>
      </c>
      <c r="B926" s="8" t="s">
        <v>2451</v>
      </c>
      <c r="C926" s="8"/>
      <c r="D926" s="8" t="s">
        <v>1592</v>
      </c>
      <c r="E926" s="8" t="s">
        <v>2451</v>
      </c>
      <c r="F926" s="8" t="s">
        <v>2451</v>
      </c>
      <c r="G926" s="8" t="s">
        <v>2451</v>
      </c>
    </row>
    <row r="927" spans="1:7" outlineLevel="2" x14ac:dyDescent="0.35">
      <c r="A927" s="8" t="s">
        <v>2451</v>
      </c>
      <c r="B927" s="8" t="s">
        <v>2451</v>
      </c>
      <c r="C927" s="8"/>
      <c r="D927" s="8" t="s">
        <v>1593</v>
      </c>
      <c r="E927" s="8" t="s">
        <v>2451</v>
      </c>
      <c r="F927" s="8" t="s">
        <v>2451</v>
      </c>
      <c r="G927" s="8" t="s">
        <v>2451</v>
      </c>
    </row>
    <row r="928" spans="1:7" outlineLevel="2" x14ac:dyDescent="0.35">
      <c r="A928" s="8" t="s">
        <v>2451</v>
      </c>
      <c r="B928" s="8" t="s">
        <v>2451</v>
      </c>
      <c r="C928" s="8"/>
      <c r="D928" s="8" t="s">
        <v>1594</v>
      </c>
      <c r="E928" s="8" t="s">
        <v>2451</v>
      </c>
      <c r="F928" s="8" t="s">
        <v>2451</v>
      </c>
      <c r="G928" s="8" t="s">
        <v>2451</v>
      </c>
    </row>
    <row r="929" spans="1:7" outlineLevel="1" x14ac:dyDescent="0.35">
      <c r="A929" s="8" t="s">
        <v>64</v>
      </c>
      <c r="B929" s="8" t="s">
        <v>170</v>
      </c>
      <c r="C929" s="8">
        <v>7</v>
      </c>
      <c r="D929" s="8" t="s">
        <v>2451</v>
      </c>
      <c r="E929" s="8" t="s">
        <v>2451</v>
      </c>
      <c r="F929" s="8" t="s">
        <v>2451</v>
      </c>
      <c r="G929" s="8" t="s">
        <v>2451</v>
      </c>
    </row>
    <row r="930" spans="1:7" outlineLevel="2" x14ac:dyDescent="0.35">
      <c r="A930" s="8" t="s">
        <v>2451</v>
      </c>
      <c r="B930" s="8" t="s">
        <v>2451</v>
      </c>
      <c r="C930" s="8"/>
      <c r="D930" s="8" t="s">
        <v>1582</v>
      </c>
      <c r="E930" s="8" t="s">
        <v>2451</v>
      </c>
      <c r="F930" s="8" t="s">
        <v>2451</v>
      </c>
      <c r="G930" s="8" t="s">
        <v>2451</v>
      </c>
    </row>
    <row r="931" spans="1:7" outlineLevel="2" x14ac:dyDescent="0.35">
      <c r="A931" s="8" t="s">
        <v>2451</v>
      </c>
      <c r="B931" s="8" t="s">
        <v>2451</v>
      </c>
      <c r="C931" s="8"/>
      <c r="D931" s="8" t="s">
        <v>1583</v>
      </c>
      <c r="E931" s="8" t="s">
        <v>2451</v>
      </c>
      <c r="F931" s="8" t="s">
        <v>2451</v>
      </c>
      <c r="G931" s="8" t="s">
        <v>2451</v>
      </c>
    </row>
    <row r="932" spans="1:7" outlineLevel="2" x14ac:dyDescent="0.35">
      <c r="A932" s="8" t="s">
        <v>2451</v>
      </c>
      <c r="B932" s="8" t="s">
        <v>2451</v>
      </c>
      <c r="C932" s="8"/>
      <c r="D932" s="8" t="s">
        <v>1584</v>
      </c>
      <c r="E932" s="8" t="s">
        <v>2451</v>
      </c>
      <c r="F932" s="8" t="s">
        <v>2451</v>
      </c>
      <c r="G932" s="8" t="s">
        <v>2451</v>
      </c>
    </row>
    <row r="933" spans="1:7" outlineLevel="2" x14ac:dyDescent="0.35">
      <c r="A933" s="8" t="s">
        <v>2451</v>
      </c>
      <c r="B933" s="8" t="s">
        <v>2451</v>
      </c>
      <c r="C933" s="8"/>
      <c r="D933" s="8" t="s">
        <v>1585</v>
      </c>
      <c r="E933" s="8" t="s">
        <v>2451</v>
      </c>
      <c r="F933" s="8" t="s">
        <v>2451</v>
      </c>
      <c r="G933" s="8" t="s">
        <v>2451</v>
      </c>
    </row>
    <row r="934" spans="1:7" outlineLevel="2" x14ac:dyDescent="0.35">
      <c r="A934" s="8" t="s">
        <v>2451</v>
      </c>
      <c r="B934" s="8" t="s">
        <v>2451</v>
      </c>
      <c r="C934" s="8"/>
      <c r="D934" s="8" t="s">
        <v>1586</v>
      </c>
      <c r="E934" s="8" t="s">
        <v>2451</v>
      </c>
      <c r="F934" s="8" t="s">
        <v>2451</v>
      </c>
      <c r="G934" s="8" t="s">
        <v>2451</v>
      </c>
    </row>
    <row r="935" spans="1:7" outlineLevel="2" x14ac:dyDescent="0.35">
      <c r="A935" s="8" t="s">
        <v>2451</v>
      </c>
      <c r="B935" s="8" t="s">
        <v>2451</v>
      </c>
      <c r="C935" s="8"/>
      <c r="D935" s="8" t="s">
        <v>1587</v>
      </c>
      <c r="E935" s="8" t="s">
        <v>2451</v>
      </c>
      <c r="F935" s="8" t="s">
        <v>2451</v>
      </c>
      <c r="G935" s="8" t="s">
        <v>2451</v>
      </c>
    </row>
    <row r="936" spans="1:7" outlineLevel="2" x14ac:dyDescent="0.35">
      <c r="A936" s="8" t="s">
        <v>2451</v>
      </c>
      <c r="B936" s="8" t="s">
        <v>2451</v>
      </c>
      <c r="C936" s="8"/>
      <c r="D936" s="8" t="s">
        <v>1588</v>
      </c>
      <c r="E936" s="8" t="s">
        <v>2451</v>
      </c>
      <c r="F936" s="8" t="s">
        <v>2451</v>
      </c>
      <c r="G936" s="8" t="s">
        <v>2451</v>
      </c>
    </row>
    <row r="937" spans="1:7" outlineLevel="1" x14ac:dyDescent="0.35">
      <c r="A937" s="8" t="s">
        <v>64</v>
      </c>
      <c r="B937" s="8" t="s">
        <v>175</v>
      </c>
      <c r="C937" s="8">
        <v>4</v>
      </c>
      <c r="D937" s="8" t="s">
        <v>2451</v>
      </c>
      <c r="E937" s="8" t="s">
        <v>2451</v>
      </c>
      <c r="F937" s="8" t="s">
        <v>2451</v>
      </c>
      <c r="G937" s="8" t="s">
        <v>2451</v>
      </c>
    </row>
    <row r="938" spans="1:7" outlineLevel="2" x14ac:dyDescent="0.35">
      <c r="A938" s="8" t="s">
        <v>2451</v>
      </c>
      <c r="B938" s="8" t="s">
        <v>2451</v>
      </c>
      <c r="C938" s="8"/>
      <c r="D938" s="8" t="s">
        <v>1578</v>
      </c>
      <c r="E938" s="8" t="s">
        <v>2451</v>
      </c>
      <c r="F938" s="8" t="s">
        <v>2451</v>
      </c>
      <c r="G938" s="8" t="s">
        <v>2451</v>
      </c>
    </row>
    <row r="939" spans="1:7" outlineLevel="2" x14ac:dyDescent="0.35">
      <c r="A939" s="8" t="s">
        <v>2451</v>
      </c>
      <c r="B939" s="8" t="s">
        <v>2451</v>
      </c>
      <c r="C939" s="8"/>
      <c r="D939" s="8" t="s">
        <v>1579</v>
      </c>
      <c r="E939" s="8" t="s">
        <v>2451</v>
      </c>
      <c r="F939" s="8" t="s">
        <v>2451</v>
      </c>
      <c r="G939" s="8" t="s">
        <v>2451</v>
      </c>
    </row>
    <row r="940" spans="1:7" outlineLevel="2" x14ac:dyDescent="0.35">
      <c r="A940" s="8" t="s">
        <v>2451</v>
      </c>
      <c r="B940" s="8" t="s">
        <v>2451</v>
      </c>
      <c r="C940" s="8"/>
      <c r="D940" s="8" t="s">
        <v>1580</v>
      </c>
      <c r="E940" s="8" t="s">
        <v>2451</v>
      </c>
      <c r="F940" s="8" t="s">
        <v>2451</v>
      </c>
      <c r="G940" s="8" t="s">
        <v>2451</v>
      </c>
    </row>
    <row r="941" spans="1:7" outlineLevel="2" x14ac:dyDescent="0.35">
      <c r="A941" s="8" t="s">
        <v>2451</v>
      </c>
      <c r="B941" s="8" t="s">
        <v>2451</v>
      </c>
      <c r="C941" s="8"/>
      <c r="D941" s="8" t="s">
        <v>1581</v>
      </c>
      <c r="E941" s="8" t="s">
        <v>2451</v>
      </c>
      <c r="F941" s="8" t="s">
        <v>2451</v>
      </c>
      <c r="G941" s="8" t="s">
        <v>2451</v>
      </c>
    </row>
    <row r="942" spans="1:7" outlineLevel="1" x14ac:dyDescent="0.35">
      <c r="A942" s="8" t="s">
        <v>64</v>
      </c>
      <c r="B942" s="8" t="s">
        <v>180</v>
      </c>
      <c r="C942" s="8">
        <v>4</v>
      </c>
      <c r="D942" s="8" t="s">
        <v>2451</v>
      </c>
      <c r="E942" s="8" t="s">
        <v>2451</v>
      </c>
      <c r="F942" s="8" t="s">
        <v>2451</v>
      </c>
      <c r="G942" s="8" t="s">
        <v>2451</v>
      </c>
    </row>
    <row r="943" spans="1:7" outlineLevel="2" x14ac:dyDescent="0.35">
      <c r="A943" s="8" t="s">
        <v>2451</v>
      </c>
      <c r="B943" s="8" t="s">
        <v>2451</v>
      </c>
      <c r="C943" s="8"/>
      <c r="D943" s="8" t="s">
        <v>1574</v>
      </c>
      <c r="E943" s="8" t="s">
        <v>2451</v>
      </c>
      <c r="F943" s="8" t="s">
        <v>2451</v>
      </c>
      <c r="G943" s="8" t="s">
        <v>2451</v>
      </c>
    </row>
    <row r="944" spans="1:7" outlineLevel="2" x14ac:dyDescent="0.35">
      <c r="A944" s="8" t="s">
        <v>2451</v>
      </c>
      <c r="B944" s="8" t="s">
        <v>2451</v>
      </c>
      <c r="C944" s="8"/>
      <c r="D944" s="8" t="s">
        <v>1575</v>
      </c>
      <c r="E944" s="8" t="s">
        <v>2451</v>
      </c>
      <c r="F944" s="8" t="s">
        <v>2451</v>
      </c>
      <c r="G944" s="8" t="s">
        <v>2451</v>
      </c>
    </row>
    <row r="945" spans="1:7" outlineLevel="2" x14ac:dyDescent="0.35">
      <c r="A945" s="8" t="s">
        <v>2451</v>
      </c>
      <c r="B945" s="8" t="s">
        <v>2451</v>
      </c>
      <c r="C945" s="8"/>
      <c r="D945" s="8" t="s">
        <v>1576</v>
      </c>
      <c r="E945" s="8" t="s">
        <v>2451</v>
      </c>
      <c r="F945" s="8" t="s">
        <v>2451</v>
      </c>
      <c r="G945" s="8" t="s">
        <v>2451</v>
      </c>
    </row>
    <row r="946" spans="1:7" outlineLevel="2" x14ac:dyDescent="0.35">
      <c r="A946" s="8" t="s">
        <v>2451</v>
      </c>
      <c r="B946" s="8" t="s">
        <v>2451</v>
      </c>
      <c r="C946" s="8"/>
      <c r="D946" s="8" t="s">
        <v>1577</v>
      </c>
      <c r="E946" s="8" t="s">
        <v>2451</v>
      </c>
      <c r="F946" s="8" t="s">
        <v>2451</v>
      </c>
      <c r="G946" s="8" t="s">
        <v>2451</v>
      </c>
    </row>
    <row r="947" spans="1:7" outlineLevel="1" x14ac:dyDescent="0.35">
      <c r="A947" s="8" t="s">
        <v>64</v>
      </c>
      <c r="B947" s="8" t="s">
        <v>185</v>
      </c>
      <c r="C947" s="8">
        <v>6</v>
      </c>
      <c r="D947" s="8" t="s">
        <v>2451</v>
      </c>
      <c r="E947" s="8" t="s">
        <v>2451</v>
      </c>
      <c r="F947" s="8" t="s">
        <v>2451</v>
      </c>
      <c r="G947" s="8" t="s">
        <v>2451</v>
      </c>
    </row>
    <row r="948" spans="1:7" outlineLevel="2" x14ac:dyDescent="0.35">
      <c r="A948" s="8" t="s">
        <v>2451</v>
      </c>
      <c r="B948" s="8" t="s">
        <v>2451</v>
      </c>
      <c r="C948" s="8"/>
      <c r="D948" s="8" t="s">
        <v>1568</v>
      </c>
      <c r="E948" s="8" t="s">
        <v>2451</v>
      </c>
      <c r="F948" s="8" t="s">
        <v>2451</v>
      </c>
      <c r="G948" s="8" t="s">
        <v>2451</v>
      </c>
    </row>
    <row r="949" spans="1:7" outlineLevel="2" x14ac:dyDescent="0.35">
      <c r="A949" s="8" t="s">
        <v>2451</v>
      </c>
      <c r="B949" s="8" t="s">
        <v>2451</v>
      </c>
      <c r="C949" s="8"/>
      <c r="D949" s="8" t="s">
        <v>1569</v>
      </c>
      <c r="E949" s="8" t="s">
        <v>2451</v>
      </c>
      <c r="F949" s="8" t="s">
        <v>2451</v>
      </c>
      <c r="G949" s="8" t="s">
        <v>2451</v>
      </c>
    </row>
    <row r="950" spans="1:7" outlineLevel="2" x14ac:dyDescent="0.35">
      <c r="A950" s="8" t="s">
        <v>2451</v>
      </c>
      <c r="B950" s="8" t="s">
        <v>2451</v>
      </c>
      <c r="C950" s="8"/>
      <c r="D950" s="8" t="s">
        <v>1570</v>
      </c>
      <c r="E950" s="8" t="s">
        <v>2451</v>
      </c>
      <c r="F950" s="8" t="s">
        <v>2451</v>
      </c>
      <c r="G950" s="8" t="s">
        <v>2451</v>
      </c>
    </row>
    <row r="951" spans="1:7" outlineLevel="2" x14ac:dyDescent="0.35">
      <c r="A951" s="8" t="s">
        <v>2451</v>
      </c>
      <c r="B951" s="8" t="s">
        <v>2451</v>
      </c>
      <c r="C951" s="8"/>
      <c r="D951" s="8" t="s">
        <v>1571</v>
      </c>
      <c r="E951" s="8" t="s">
        <v>2451</v>
      </c>
      <c r="F951" s="8" t="s">
        <v>2451</v>
      </c>
      <c r="G951" s="8" t="s">
        <v>2451</v>
      </c>
    </row>
    <row r="952" spans="1:7" outlineLevel="2" x14ac:dyDescent="0.35">
      <c r="A952" s="8" t="s">
        <v>2451</v>
      </c>
      <c r="B952" s="8" t="s">
        <v>2451</v>
      </c>
      <c r="C952" s="8"/>
      <c r="D952" s="8" t="s">
        <v>1572</v>
      </c>
      <c r="E952" s="8" t="s">
        <v>2451</v>
      </c>
      <c r="F952" s="8" t="s">
        <v>2451</v>
      </c>
      <c r="G952" s="8" t="s">
        <v>2451</v>
      </c>
    </row>
    <row r="953" spans="1:7" outlineLevel="2" x14ac:dyDescent="0.35">
      <c r="A953" s="8" t="s">
        <v>2451</v>
      </c>
      <c r="B953" s="8" t="s">
        <v>2451</v>
      </c>
      <c r="C953" s="8"/>
      <c r="D953" s="8" t="s">
        <v>1573</v>
      </c>
      <c r="E953" s="8" t="s">
        <v>2451</v>
      </c>
      <c r="F953" s="8" t="s">
        <v>2451</v>
      </c>
      <c r="G953" s="8" t="s">
        <v>2451</v>
      </c>
    </row>
    <row r="954" spans="1:7" outlineLevel="1" x14ac:dyDescent="0.35">
      <c r="A954" s="8" t="s">
        <v>64</v>
      </c>
      <c r="B954" s="8" t="s">
        <v>190</v>
      </c>
      <c r="C954" s="8">
        <v>7</v>
      </c>
      <c r="D954" s="8" t="s">
        <v>2451</v>
      </c>
      <c r="E954" s="8" t="s">
        <v>2451</v>
      </c>
      <c r="F954" s="8" t="s">
        <v>2451</v>
      </c>
      <c r="G954" s="8" t="s">
        <v>2451</v>
      </c>
    </row>
    <row r="955" spans="1:7" outlineLevel="2" x14ac:dyDescent="0.35">
      <c r="A955" s="8" t="s">
        <v>2451</v>
      </c>
      <c r="B955" s="8" t="s">
        <v>2451</v>
      </c>
      <c r="C955" s="8"/>
      <c r="D955" s="8" t="s">
        <v>1561</v>
      </c>
      <c r="E955" s="8" t="s">
        <v>2451</v>
      </c>
      <c r="F955" s="8" t="s">
        <v>2451</v>
      </c>
      <c r="G955" s="8" t="s">
        <v>2451</v>
      </c>
    </row>
    <row r="956" spans="1:7" outlineLevel="2" x14ac:dyDescent="0.35">
      <c r="A956" s="8" t="s">
        <v>2451</v>
      </c>
      <c r="B956" s="8" t="s">
        <v>2451</v>
      </c>
      <c r="C956" s="8"/>
      <c r="D956" s="8" t="s">
        <v>1562</v>
      </c>
      <c r="E956" s="8" t="s">
        <v>2451</v>
      </c>
      <c r="F956" s="8" t="s">
        <v>2451</v>
      </c>
      <c r="G956" s="8" t="s">
        <v>2451</v>
      </c>
    </row>
    <row r="957" spans="1:7" outlineLevel="2" x14ac:dyDescent="0.35">
      <c r="A957" s="8" t="s">
        <v>2451</v>
      </c>
      <c r="B957" s="8" t="s">
        <v>2451</v>
      </c>
      <c r="C957" s="8"/>
      <c r="D957" s="8" t="s">
        <v>1563</v>
      </c>
      <c r="E957" s="8" t="s">
        <v>2451</v>
      </c>
      <c r="F957" s="8" t="s">
        <v>2451</v>
      </c>
      <c r="G957" s="8" t="s">
        <v>2451</v>
      </c>
    </row>
    <row r="958" spans="1:7" outlineLevel="2" x14ac:dyDescent="0.35">
      <c r="A958" s="8" t="s">
        <v>2451</v>
      </c>
      <c r="B958" s="8" t="s">
        <v>2451</v>
      </c>
      <c r="C958" s="8"/>
      <c r="D958" s="8" t="s">
        <v>1564</v>
      </c>
      <c r="E958" s="8" t="s">
        <v>2451</v>
      </c>
      <c r="F958" s="8" t="s">
        <v>2451</v>
      </c>
      <c r="G958" s="8" t="s">
        <v>2451</v>
      </c>
    </row>
    <row r="959" spans="1:7" outlineLevel="2" x14ac:dyDescent="0.35">
      <c r="A959" s="8" t="s">
        <v>2451</v>
      </c>
      <c r="B959" s="8" t="s">
        <v>2451</v>
      </c>
      <c r="C959" s="8"/>
      <c r="D959" s="8" t="s">
        <v>1565</v>
      </c>
      <c r="E959" s="8" t="s">
        <v>2451</v>
      </c>
      <c r="F959" s="8" t="s">
        <v>2451</v>
      </c>
      <c r="G959" s="8" t="s">
        <v>2451</v>
      </c>
    </row>
    <row r="960" spans="1:7" outlineLevel="2" x14ac:dyDescent="0.35">
      <c r="A960" s="8" t="s">
        <v>2451</v>
      </c>
      <c r="B960" s="8" t="s">
        <v>2451</v>
      </c>
      <c r="C960" s="8"/>
      <c r="D960" s="8" t="s">
        <v>1566</v>
      </c>
      <c r="E960" s="8" t="s">
        <v>2451</v>
      </c>
      <c r="F960" s="8" t="s">
        <v>2451</v>
      </c>
      <c r="G960" s="8" t="s">
        <v>2451</v>
      </c>
    </row>
    <row r="961" spans="1:7" outlineLevel="2" x14ac:dyDescent="0.35">
      <c r="A961" s="8" t="s">
        <v>2451</v>
      </c>
      <c r="B961" s="8" t="s">
        <v>2451</v>
      </c>
      <c r="C961" s="8"/>
      <c r="D961" s="8" t="s">
        <v>1567</v>
      </c>
      <c r="E961" s="8" t="s">
        <v>2451</v>
      </c>
      <c r="F961" s="8" t="s">
        <v>2451</v>
      </c>
      <c r="G961" s="8" t="s">
        <v>2451</v>
      </c>
    </row>
    <row r="962" spans="1:7" outlineLevel="1" x14ac:dyDescent="0.35">
      <c r="A962" s="8" t="s">
        <v>195</v>
      </c>
      <c r="B962" s="8" t="s">
        <v>196</v>
      </c>
      <c r="C962" s="8">
        <v>3</v>
      </c>
      <c r="D962" s="8" t="s">
        <v>2451</v>
      </c>
      <c r="E962" s="8" t="s">
        <v>2451</v>
      </c>
      <c r="F962" s="8" t="s">
        <v>2451</v>
      </c>
      <c r="G962" s="8" t="s">
        <v>2451</v>
      </c>
    </row>
    <row r="963" spans="1:7" outlineLevel="2" x14ac:dyDescent="0.35">
      <c r="A963" s="8" t="s">
        <v>2451</v>
      </c>
      <c r="B963" s="8" t="s">
        <v>2451</v>
      </c>
      <c r="C963" s="8"/>
      <c r="D963" s="8" t="s">
        <v>1558</v>
      </c>
      <c r="E963" s="8" t="s">
        <v>2451</v>
      </c>
      <c r="F963" s="8" t="s">
        <v>2451</v>
      </c>
      <c r="G963" s="8" t="s">
        <v>2451</v>
      </c>
    </row>
    <row r="964" spans="1:7" outlineLevel="2" x14ac:dyDescent="0.35">
      <c r="A964" s="8" t="s">
        <v>2451</v>
      </c>
      <c r="B964" s="8" t="s">
        <v>2451</v>
      </c>
      <c r="C964" s="8"/>
      <c r="D964" s="8" t="s">
        <v>1559</v>
      </c>
      <c r="E964" s="8" t="s">
        <v>2451</v>
      </c>
      <c r="F964" s="8" t="s">
        <v>2451</v>
      </c>
      <c r="G964" s="8" t="s">
        <v>2451</v>
      </c>
    </row>
    <row r="965" spans="1:7" outlineLevel="2" x14ac:dyDescent="0.35">
      <c r="A965" s="8" t="s">
        <v>2451</v>
      </c>
      <c r="B965" s="8" t="s">
        <v>2451</v>
      </c>
      <c r="C965" s="8"/>
      <c r="D965" s="8" t="s">
        <v>1560</v>
      </c>
      <c r="E965" s="8" t="s">
        <v>2451</v>
      </c>
      <c r="F965" s="8" t="s">
        <v>2451</v>
      </c>
      <c r="G965" s="8" t="s">
        <v>2451</v>
      </c>
    </row>
    <row r="966" spans="1:7" outlineLevel="1" x14ac:dyDescent="0.35">
      <c r="A966" s="8" t="s">
        <v>195</v>
      </c>
      <c r="B966" s="8" t="s">
        <v>201</v>
      </c>
      <c r="C966" s="8">
        <v>5</v>
      </c>
      <c r="D966" s="8" t="s">
        <v>2451</v>
      </c>
      <c r="E966" s="8" t="s">
        <v>2451</v>
      </c>
      <c r="F966" s="8" t="s">
        <v>2451</v>
      </c>
      <c r="G966" s="8" t="s">
        <v>2451</v>
      </c>
    </row>
    <row r="967" spans="1:7" outlineLevel="2" x14ac:dyDescent="0.35">
      <c r="A967" s="8" t="s">
        <v>2451</v>
      </c>
      <c r="B967" s="8" t="s">
        <v>2451</v>
      </c>
      <c r="C967" s="8"/>
      <c r="D967" s="8" t="s">
        <v>1553</v>
      </c>
      <c r="E967" s="8" t="s">
        <v>2451</v>
      </c>
      <c r="F967" s="8" t="s">
        <v>2451</v>
      </c>
      <c r="G967" s="8" t="s">
        <v>2451</v>
      </c>
    </row>
    <row r="968" spans="1:7" outlineLevel="2" x14ac:dyDescent="0.35">
      <c r="A968" s="8" t="s">
        <v>2451</v>
      </c>
      <c r="B968" s="8" t="s">
        <v>2451</v>
      </c>
      <c r="C968" s="8"/>
      <c r="D968" s="8" t="s">
        <v>1554</v>
      </c>
      <c r="E968" s="8" t="s">
        <v>2451</v>
      </c>
      <c r="F968" s="8" t="s">
        <v>2451</v>
      </c>
      <c r="G968" s="8" t="s">
        <v>2451</v>
      </c>
    </row>
    <row r="969" spans="1:7" outlineLevel="2" x14ac:dyDescent="0.35">
      <c r="A969" s="8" t="s">
        <v>2451</v>
      </c>
      <c r="B969" s="8" t="s">
        <v>2451</v>
      </c>
      <c r="C969" s="8"/>
      <c r="D969" s="8" t="s">
        <v>1555</v>
      </c>
      <c r="E969" s="8" t="s">
        <v>2451</v>
      </c>
      <c r="F969" s="8" t="s">
        <v>2451</v>
      </c>
      <c r="G969" s="8" t="s">
        <v>2451</v>
      </c>
    </row>
    <row r="970" spans="1:7" outlineLevel="2" x14ac:dyDescent="0.35">
      <c r="A970" s="8" t="s">
        <v>2451</v>
      </c>
      <c r="B970" s="8" t="s">
        <v>2451</v>
      </c>
      <c r="C970" s="8"/>
      <c r="D970" s="8" t="s">
        <v>1556</v>
      </c>
      <c r="E970" s="8" t="s">
        <v>2451</v>
      </c>
      <c r="F970" s="8" t="s">
        <v>2451</v>
      </c>
      <c r="G970" s="8" t="s">
        <v>2451</v>
      </c>
    </row>
    <row r="971" spans="1:7" outlineLevel="2" x14ac:dyDescent="0.35">
      <c r="A971" s="8" t="s">
        <v>2451</v>
      </c>
      <c r="B971" s="8" t="s">
        <v>2451</v>
      </c>
      <c r="C971" s="8"/>
      <c r="D971" s="8" t="s">
        <v>1557</v>
      </c>
      <c r="E971" s="8" t="s">
        <v>2451</v>
      </c>
      <c r="F971" s="8" t="s">
        <v>2451</v>
      </c>
      <c r="G971" s="8" t="s">
        <v>2451</v>
      </c>
    </row>
    <row r="972" spans="1:7" outlineLevel="1" x14ac:dyDescent="0.35">
      <c r="A972" s="8" t="s">
        <v>195</v>
      </c>
      <c r="B972" s="8" t="s">
        <v>206</v>
      </c>
      <c r="C972" s="8">
        <v>1</v>
      </c>
      <c r="D972" s="8" t="s">
        <v>2451</v>
      </c>
      <c r="E972" s="8" t="s">
        <v>2451</v>
      </c>
      <c r="F972" s="8" t="s">
        <v>2451</v>
      </c>
      <c r="G972" s="8" t="s">
        <v>2451</v>
      </c>
    </row>
    <row r="973" spans="1:7" outlineLevel="1" x14ac:dyDescent="0.35">
      <c r="A973" s="8" t="s">
        <v>2451</v>
      </c>
      <c r="B973" s="8" t="s">
        <v>2451</v>
      </c>
      <c r="C973" s="8"/>
      <c r="D973" s="8" t="s">
        <v>1552</v>
      </c>
      <c r="E973" s="8" t="s">
        <v>2451</v>
      </c>
      <c r="F973" s="8" t="s">
        <v>2451</v>
      </c>
      <c r="G973" s="8" t="s">
        <v>2451</v>
      </c>
    </row>
    <row r="974" spans="1:7" outlineLevel="1" x14ac:dyDescent="0.35">
      <c r="A974" s="8" t="s">
        <v>212</v>
      </c>
      <c r="B974" s="8" t="s">
        <v>213</v>
      </c>
      <c r="C974" s="8">
        <v>3</v>
      </c>
      <c r="D974" s="8" t="s">
        <v>2451</v>
      </c>
      <c r="E974" s="8" t="s">
        <v>2451</v>
      </c>
      <c r="F974" s="8" t="s">
        <v>2451</v>
      </c>
      <c r="G974" s="8" t="s">
        <v>2451</v>
      </c>
    </row>
    <row r="975" spans="1:7" outlineLevel="2" x14ac:dyDescent="0.35">
      <c r="A975" s="8" t="s">
        <v>2451</v>
      </c>
      <c r="B975" s="8" t="s">
        <v>2451</v>
      </c>
      <c r="C975" s="8"/>
      <c r="D975" s="8" t="s">
        <v>1549</v>
      </c>
      <c r="E975" s="8" t="s">
        <v>2451</v>
      </c>
      <c r="F975" s="8" t="s">
        <v>2451</v>
      </c>
      <c r="G975" s="8" t="s">
        <v>2451</v>
      </c>
    </row>
    <row r="976" spans="1:7" outlineLevel="2" x14ac:dyDescent="0.35">
      <c r="A976" s="8" t="s">
        <v>2451</v>
      </c>
      <c r="B976" s="8" t="s">
        <v>2451</v>
      </c>
      <c r="C976" s="8"/>
      <c r="D976" s="8" t="s">
        <v>1550</v>
      </c>
      <c r="E976" s="8" t="s">
        <v>2451</v>
      </c>
      <c r="F976" s="8" t="s">
        <v>2451</v>
      </c>
      <c r="G976" s="8" t="s">
        <v>2451</v>
      </c>
    </row>
    <row r="977" spans="1:7" outlineLevel="2" x14ac:dyDescent="0.35">
      <c r="A977" s="8" t="s">
        <v>2451</v>
      </c>
      <c r="B977" s="8" t="s">
        <v>2451</v>
      </c>
      <c r="C977" s="8"/>
      <c r="D977" s="8" t="s">
        <v>1551</v>
      </c>
      <c r="E977" s="8" t="s">
        <v>2451</v>
      </c>
      <c r="F977" s="8" t="s">
        <v>2451</v>
      </c>
      <c r="G977" s="8" t="s">
        <v>2451</v>
      </c>
    </row>
    <row r="978" spans="1:7" outlineLevel="1" x14ac:dyDescent="0.35">
      <c r="A978" s="8" t="s">
        <v>219</v>
      </c>
      <c r="B978" s="8" t="s">
        <v>220</v>
      </c>
      <c r="C978" s="8">
        <v>2</v>
      </c>
      <c r="D978" s="8" t="s">
        <v>2451</v>
      </c>
      <c r="E978" s="8" t="s">
        <v>2451</v>
      </c>
      <c r="F978" s="8" t="s">
        <v>2451</v>
      </c>
      <c r="G978" s="8" t="s">
        <v>2451</v>
      </c>
    </row>
    <row r="979" spans="1:7" outlineLevel="2" x14ac:dyDescent="0.35">
      <c r="A979" s="8" t="s">
        <v>2451</v>
      </c>
      <c r="B979" s="8" t="s">
        <v>2451</v>
      </c>
      <c r="C979" s="8"/>
      <c r="D979" s="8" t="s">
        <v>1547</v>
      </c>
      <c r="E979" s="8" t="s">
        <v>2451</v>
      </c>
      <c r="F979" s="8" t="s">
        <v>2451</v>
      </c>
      <c r="G979" s="8" t="s">
        <v>2451</v>
      </c>
    </row>
    <row r="980" spans="1:7" outlineLevel="2" x14ac:dyDescent="0.35">
      <c r="A980" s="8" t="s">
        <v>2451</v>
      </c>
      <c r="B980" s="8" t="s">
        <v>2451</v>
      </c>
      <c r="C980" s="8"/>
      <c r="D980" s="8" t="s">
        <v>1548</v>
      </c>
      <c r="E980" s="8" t="s">
        <v>2451</v>
      </c>
      <c r="F980" s="8" t="s">
        <v>2451</v>
      </c>
      <c r="G980" s="8" t="s">
        <v>2451</v>
      </c>
    </row>
    <row r="981" spans="1:7" outlineLevel="1" x14ac:dyDescent="0.35">
      <c r="A981" s="8" t="s">
        <v>225</v>
      </c>
      <c r="B981" s="8" t="s">
        <v>226</v>
      </c>
      <c r="C981" s="8">
        <v>1</v>
      </c>
      <c r="D981" s="8" t="s">
        <v>2451</v>
      </c>
      <c r="E981" s="8" t="s">
        <v>2451</v>
      </c>
      <c r="F981" s="8" t="s">
        <v>2451</v>
      </c>
      <c r="G981" s="8" t="s">
        <v>2451</v>
      </c>
    </row>
    <row r="982" spans="1:7" outlineLevel="1" x14ac:dyDescent="0.35">
      <c r="A982" s="8" t="s">
        <v>2451</v>
      </c>
      <c r="B982" s="8" t="s">
        <v>2451</v>
      </c>
      <c r="C982" s="8"/>
      <c r="D982" s="8" t="s">
        <v>1546</v>
      </c>
      <c r="E982" s="8" t="s">
        <v>2451</v>
      </c>
      <c r="F982" s="8" t="s">
        <v>2451</v>
      </c>
      <c r="G982" s="8" t="s">
        <v>2451</v>
      </c>
    </row>
    <row r="983" spans="1:7" outlineLevel="1" x14ac:dyDescent="0.35">
      <c r="A983" s="8" t="s">
        <v>232</v>
      </c>
      <c r="B983" s="8" t="s">
        <v>233</v>
      </c>
      <c r="C983" s="8">
        <v>1</v>
      </c>
      <c r="D983" s="8" t="s">
        <v>2451</v>
      </c>
      <c r="E983" s="8" t="s">
        <v>2451</v>
      </c>
      <c r="F983" s="8" t="s">
        <v>2451</v>
      </c>
      <c r="G983" s="8" t="s">
        <v>2451</v>
      </c>
    </row>
    <row r="984" spans="1:7" outlineLevel="1" x14ac:dyDescent="0.35">
      <c r="A984" s="8" t="s">
        <v>2451</v>
      </c>
      <c r="B984" s="8" t="s">
        <v>2451</v>
      </c>
      <c r="C984" s="8"/>
      <c r="D984" s="8" t="s">
        <v>1545</v>
      </c>
      <c r="E984" s="8" t="s">
        <v>2451</v>
      </c>
      <c r="F984" s="8" t="s">
        <v>2451</v>
      </c>
      <c r="G984" s="8" t="s">
        <v>2451</v>
      </c>
    </row>
    <row r="985" spans="1:7" outlineLevel="1" x14ac:dyDescent="0.35">
      <c r="A985" s="8" t="s">
        <v>232</v>
      </c>
      <c r="B985" s="8" t="s">
        <v>237</v>
      </c>
      <c r="C985" s="8">
        <v>2</v>
      </c>
      <c r="D985" s="8" t="s">
        <v>2451</v>
      </c>
      <c r="E985" s="8" t="s">
        <v>2451</v>
      </c>
      <c r="F985" s="8" t="s">
        <v>2451</v>
      </c>
      <c r="G985" s="8" t="s">
        <v>2451</v>
      </c>
    </row>
    <row r="986" spans="1:7" outlineLevel="2" x14ac:dyDescent="0.35">
      <c r="A986" s="8" t="s">
        <v>2451</v>
      </c>
      <c r="B986" s="8" t="s">
        <v>2451</v>
      </c>
      <c r="C986" s="8"/>
      <c r="D986" s="8" t="s">
        <v>1543</v>
      </c>
      <c r="E986" s="8" t="s">
        <v>2451</v>
      </c>
      <c r="F986" s="8" t="s">
        <v>2451</v>
      </c>
      <c r="G986" s="8" t="s">
        <v>2451</v>
      </c>
    </row>
    <row r="987" spans="1:7" outlineLevel="2" x14ac:dyDescent="0.35">
      <c r="A987" s="8" t="s">
        <v>2451</v>
      </c>
      <c r="B987" s="8" t="s">
        <v>2451</v>
      </c>
      <c r="C987" s="8"/>
      <c r="D987" s="8" t="s">
        <v>1544</v>
      </c>
      <c r="E987" s="8" t="s">
        <v>2451</v>
      </c>
      <c r="F987" s="8" t="s">
        <v>2451</v>
      </c>
      <c r="G987" s="8" t="s">
        <v>2451</v>
      </c>
    </row>
    <row r="988" spans="1:7" outlineLevel="1" x14ac:dyDescent="0.35">
      <c r="A988" s="8" t="s">
        <v>232</v>
      </c>
      <c r="B988" s="8" t="s">
        <v>241</v>
      </c>
      <c r="C988" s="8">
        <v>4</v>
      </c>
      <c r="D988" s="8" t="s">
        <v>2451</v>
      </c>
      <c r="E988" s="8" t="s">
        <v>2451</v>
      </c>
      <c r="F988" s="8" t="s">
        <v>2451</v>
      </c>
      <c r="G988" s="8" t="s">
        <v>2451</v>
      </c>
    </row>
    <row r="989" spans="1:7" outlineLevel="2" x14ac:dyDescent="0.35">
      <c r="A989" s="8" t="s">
        <v>2451</v>
      </c>
      <c r="B989" s="8" t="s">
        <v>2451</v>
      </c>
      <c r="C989" s="8"/>
      <c r="D989" s="8" t="s">
        <v>1539</v>
      </c>
      <c r="E989" s="8" t="s">
        <v>2451</v>
      </c>
      <c r="F989" s="8" t="s">
        <v>2451</v>
      </c>
      <c r="G989" s="8" t="s">
        <v>2451</v>
      </c>
    </row>
    <row r="990" spans="1:7" outlineLevel="2" x14ac:dyDescent="0.35">
      <c r="A990" s="8" t="s">
        <v>2451</v>
      </c>
      <c r="B990" s="8" t="s">
        <v>2451</v>
      </c>
      <c r="C990" s="8"/>
      <c r="D990" s="8" t="s">
        <v>1540</v>
      </c>
      <c r="E990" s="8" t="s">
        <v>2451</v>
      </c>
      <c r="F990" s="8" t="s">
        <v>2451</v>
      </c>
      <c r="G990" s="8" t="s">
        <v>2451</v>
      </c>
    </row>
    <row r="991" spans="1:7" outlineLevel="2" x14ac:dyDescent="0.35">
      <c r="A991" s="8" t="s">
        <v>2451</v>
      </c>
      <c r="B991" s="8" t="s">
        <v>2451</v>
      </c>
      <c r="C991" s="8"/>
      <c r="D991" s="8" t="s">
        <v>1541</v>
      </c>
      <c r="E991" s="8" t="s">
        <v>2451</v>
      </c>
      <c r="F991" s="8" t="s">
        <v>2451</v>
      </c>
      <c r="G991" s="8" t="s">
        <v>2451</v>
      </c>
    </row>
    <row r="992" spans="1:7" outlineLevel="2" x14ac:dyDescent="0.35">
      <c r="A992" s="8" t="s">
        <v>2451</v>
      </c>
      <c r="B992" s="8" t="s">
        <v>2451</v>
      </c>
      <c r="C992" s="8"/>
      <c r="D992" s="8" t="s">
        <v>1542</v>
      </c>
      <c r="E992" s="8" t="s">
        <v>2451</v>
      </c>
      <c r="F992" s="8" t="s">
        <v>2451</v>
      </c>
      <c r="G992" s="8" t="s">
        <v>2451</v>
      </c>
    </row>
    <row r="993" spans="1:7" outlineLevel="1" x14ac:dyDescent="0.35">
      <c r="A993" s="8" t="s">
        <v>245</v>
      </c>
      <c r="B993" s="8" t="s">
        <v>246</v>
      </c>
      <c r="C993" s="8">
        <v>6</v>
      </c>
      <c r="D993" s="8" t="s">
        <v>2451</v>
      </c>
      <c r="E993" s="8" t="s">
        <v>2451</v>
      </c>
      <c r="F993" s="8" t="s">
        <v>2451</v>
      </c>
      <c r="G993" s="8" t="s">
        <v>2451</v>
      </c>
    </row>
    <row r="994" spans="1:7" outlineLevel="2" x14ac:dyDescent="0.35">
      <c r="A994" s="8" t="s">
        <v>2451</v>
      </c>
      <c r="B994" s="8" t="s">
        <v>2451</v>
      </c>
      <c r="C994" s="8"/>
      <c r="D994" s="8" t="s">
        <v>1533</v>
      </c>
      <c r="E994" s="8" t="s">
        <v>2451</v>
      </c>
      <c r="F994" s="8" t="s">
        <v>2451</v>
      </c>
      <c r="G994" s="8" t="s">
        <v>2451</v>
      </c>
    </row>
    <row r="995" spans="1:7" outlineLevel="2" x14ac:dyDescent="0.35">
      <c r="A995" s="8" t="s">
        <v>2451</v>
      </c>
      <c r="B995" s="8" t="s">
        <v>2451</v>
      </c>
      <c r="C995" s="8"/>
      <c r="D995" s="8" t="s">
        <v>1534</v>
      </c>
      <c r="E995" s="8" t="s">
        <v>2451</v>
      </c>
      <c r="F995" s="8" t="s">
        <v>2451</v>
      </c>
      <c r="G995" s="8" t="s">
        <v>2451</v>
      </c>
    </row>
    <row r="996" spans="1:7" outlineLevel="2" x14ac:dyDescent="0.35">
      <c r="A996" s="8" t="s">
        <v>2451</v>
      </c>
      <c r="B996" s="8" t="s">
        <v>2451</v>
      </c>
      <c r="C996" s="8"/>
      <c r="D996" s="8" t="s">
        <v>1535</v>
      </c>
      <c r="E996" s="8" t="s">
        <v>2451</v>
      </c>
      <c r="F996" s="8" t="s">
        <v>2451</v>
      </c>
      <c r="G996" s="8" t="s">
        <v>2451</v>
      </c>
    </row>
    <row r="997" spans="1:7" outlineLevel="2" x14ac:dyDescent="0.35">
      <c r="A997" s="8" t="s">
        <v>2451</v>
      </c>
      <c r="B997" s="8" t="s">
        <v>2451</v>
      </c>
      <c r="C997" s="8"/>
      <c r="D997" s="8" t="s">
        <v>1536</v>
      </c>
      <c r="E997" s="8" t="s">
        <v>2451</v>
      </c>
      <c r="F997" s="8" t="s">
        <v>2451</v>
      </c>
      <c r="G997" s="8" t="s">
        <v>2451</v>
      </c>
    </row>
    <row r="998" spans="1:7" outlineLevel="2" x14ac:dyDescent="0.35">
      <c r="A998" s="8" t="s">
        <v>2451</v>
      </c>
      <c r="B998" s="8" t="s">
        <v>2451</v>
      </c>
      <c r="C998" s="8"/>
      <c r="D998" s="8" t="s">
        <v>1537</v>
      </c>
      <c r="E998" s="8" t="s">
        <v>2451</v>
      </c>
      <c r="F998" s="8" t="s">
        <v>2451</v>
      </c>
      <c r="G998" s="8" t="s">
        <v>2451</v>
      </c>
    </row>
    <row r="999" spans="1:7" outlineLevel="2" x14ac:dyDescent="0.35">
      <c r="A999" s="8" t="s">
        <v>2451</v>
      </c>
      <c r="B999" s="8" t="s">
        <v>2451</v>
      </c>
      <c r="C999" s="8"/>
      <c r="D999" s="8" t="s">
        <v>1538</v>
      </c>
      <c r="E999" s="8" t="s">
        <v>2451</v>
      </c>
      <c r="F999" s="8" t="s">
        <v>2451</v>
      </c>
      <c r="G999" s="8" t="s">
        <v>2451</v>
      </c>
    </row>
    <row r="1000" spans="1:7" outlineLevel="1" x14ac:dyDescent="0.35">
      <c r="A1000" s="8" t="s">
        <v>251</v>
      </c>
      <c r="B1000" s="8" t="s">
        <v>252</v>
      </c>
      <c r="C1000" s="8">
        <v>6</v>
      </c>
      <c r="D1000" s="8" t="s">
        <v>2451</v>
      </c>
      <c r="E1000" s="8" t="s">
        <v>2451</v>
      </c>
      <c r="F1000" s="8" t="s">
        <v>2451</v>
      </c>
      <c r="G1000" s="8" t="s">
        <v>2451</v>
      </c>
    </row>
    <row r="1001" spans="1:7" outlineLevel="2" x14ac:dyDescent="0.35">
      <c r="A1001" s="8" t="s">
        <v>2451</v>
      </c>
      <c r="B1001" s="8" t="s">
        <v>2451</v>
      </c>
      <c r="C1001" s="8"/>
      <c r="D1001" s="8" t="s">
        <v>1527</v>
      </c>
      <c r="E1001" s="8" t="s">
        <v>2451</v>
      </c>
      <c r="F1001" s="8" t="s">
        <v>2451</v>
      </c>
      <c r="G1001" s="8" t="s">
        <v>2451</v>
      </c>
    </row>
    <row r="1002" spans="1:7" outlineLevel="2" x14ac:dyDescent="0.35">
      <c r="A1002" s="8" t="s">
        <v>2451</v>
      </c>
      <c r="B1002" s="8" t="s">
        <v>2451</v>
      </c>
      <c r="C1002" s="8"/>
      <c r="D1002" s="8" t="s">
        <v>1528</v>
      </c>
      <c r="E1002" s="8" t="s">
        <v>2451</v>
      </c>
      <c r="F1002" s="8" t="s">
        <v>2451</v>
      </c>
      <c r="G1002" s="8" t="s">
        <v>2451</v>
      </c>
    </row>
    <row r="1003" spans="1:7" outlineLevel="2" x14ac:dyDescent="0.35">
      <c r="A1003" s="8" t="s">
        <v>2451</v>
      </c>
      <c r="B1003" s="8" t="s">
        <v>2451</v>
      </c>
      <c r="C1003" s="8"/>
      <c r="D1003" s="8" t="s">
        <v>1529</v>
      </c>
      <c r="E1003" s="8" t="s">
        <v>2451</v>
      </c>
      <c r="F1003" s="8" t="s">
        <v>2451</v>
      </c>
      <c r="G1003" s="8" t="s">
        <v>2451</v>
      </c>
    </row>
    <row r="1004" spans="1:7" outlineLevel="2" x14ac:dyDescent="0.35">
      <c r="A1004" s="8" t="s">
        <v>2451</v>
      </c>
      <c r="B1004" s="8" t="s">
        <v>2451</v>
      </c>
      <c r="C1004" s="8"/>
      <c r="D1004" s="8" t="s">
        <v>1530</v>
      </c>
      <c r="E1004" s="8" t="s">
        <v>2451</v>
      </c>
      <c r="F1004" s="8" t="s">
        <v>2451</v>
      </c>
      <c r="G1004" s="8" t="s">
        <v>2451</v>
      </c>
    </row>
    <row r="1005" spans="1:7" outlineLevel="2" x14ac:dyDescent="0.35">
      <c r="A1005" s="8" t="s">
        <v>2451</v>
      </c>
      <c r="B1005" s="8" t="s">
        <v>2451</v>
      </c>
      <c r="C1005" s="8"/>
      <c r="D1005" s="8" t="s">
        <v>1531</v>
      </c>
      <c r="E1005" s="8" t="s">
        <v>2451</v>
      </c>
      <c r="F1005" s="8" t="s">
        <v>2451</v>
      </c>
      <c r="G1005" s="8" t="s">
        <v>2451</v>
      </c>
    </row>
    <row r="1006" spans="1:7" outlineLevel="2" x14ac:dyDescent="0.35">
      <c r="A1006" s="8" t="s">
        <v>2451</v>
      </c>
      <c r="B1006" s="8" t="s">
        <v>2451</v>
      </c>
      <c r="C1006" s="8"/>
      <c r="D1006" s="8" t="s">
        <v>1532</v>
      </c>
      <c r="E1006" s="8" t="s">
        <v>2451</v>
      </c>
      <c r="F1006" s="8" t="s">
        <v>2451</v>
      </c>
      <c r="G1006" s="8" t="s">
        <v>2451</v>
      </c>
    </row>
    <row r="1007" spans="1:7" outlineLevel="1" x14ac:dyDescent="0.35">
      <c r="A1007" s="8" t="s">
        <v>251</v>
      </c>
      <c r="B1007" s="8" t="s">
        <v>254</v>
      </c>
      <c r="C1007" s="8">
        <v>8</v>
      </c>
      <c r="D1007" s="8" t="s">
        <v>2451</v>
      </c>
      <c r="E1007" s="8" t="s">
        <v>2451</v>
      </c>
      <c r="F1007" s="8" t="s">
        <v>2451</v>
      </c>
      <c r="G1007" s="8" t="s">
        <v>2451</v>
      </c>
    </row>
    <row r="1008" spans="1:7" outlineLevel="2" x14ac:dyDescent="0.35">
      <c r="A1008" s="8" t="s">
        <v>2451</v>
      </c>
      <c r="B1008" s="8" t="s">
        <v>2451</v>
      </c>
      <c r="C1008" s="8"/>
      <c r="D1008" s="8" t="s">
        <v>1519</v>
      </c>
      <c r="E1008" s="8" t="s">
        <v>2451</v>
      </c>
      <c r="F1008" s="8" t="s">
        <v>2451</v>
      </c>
      <c r="G1008" s="8" t="s">
        <v>2451</v>
      </c>
    </row>
    <row r="1009" spans="1:7" outlineLevel="2" x14ac:dyDescent="0.35">
      <c r="A1009" s="8" t="s">
        <v>2451</v>
      </c>
      <c r="B1009" s="8" t="s">
        <v>2451</v>
      </c>
      <c r="C1009" s="8"/>
      <c r="D1009" s="8" t="s">
        <v>1520</v>
      </c>
      <c r="E1009" s="8" t="s">
        <v>2451</v>
      </c>
      <c r="F1009" s="8" t="s">
        <v>2451</v>
      </c>
      <c r="G1009" s="8" t="s">
        <v>2451</v>
      </c>
    </row>
    <row r="1010" spans="1:7" outlineLevel="2" x14ac:dyDescent="0.35">
      <c r="A1010" s="8" t="s">
        <v>2451</v>
      </c>
      <c r="B1010" s="8" t="s">
        <v>2451</v>
      </c>
      <c r="C1010" s="8"/>
      <c r="D1010" s="8" t="s">
        <v>1521</v>
      </c>
      <c r="E1010" s="8" t="s">
        <v>2451</v>
      </c>
      <c r="F1010" s="8" t="s">
        <v>2451</v>
      </c>
      <c r="G1010" s="8" t="s">
        <v>2451</v>
      </c>
    </row>
    <row r="1011" spans="1:7" outlineLevel="2" x14ac:dyDescent="0.35">
      <c r="A1011" s="8" t="s">
        <v>2451</v>
      </c>
      <c r="B1011" s="8" t="s">
        <v>2451</v>
      </c>
      <c r="C1011" s="8"/>
      <c r="D1011" s="8" t="s">
        <v>1522</v>
      </c>
      <c r="E1011" s="8" t="s">
        <v>2451</v>
      </c>
      <c r="F1011" s="8" t="s">
        <v>2451</v>
      </c>
      <c r="G1011" s="8" t="s">
        <v>2451</v>
      </c>
    </row>
    <row r="1012" spans="1:7" outlineLevel="2" x14ac:dyDescent="0.35">
      <c r="A1012" s="8" t="s">
        <v>2451</v>
      </c>
      <c r="B1012" s="8" t="s">
        <v>2451</v>
      </c>
      <c r="C1012" s="8"/>
      <c r="D1012" s="8" t="s">
        <v>1523</v>
      </c>
      <c r="E1012" s="8" t="s">
        <v>2451</v>
      </c>
      <c r="F1012" s="8" t="s">
        <v>2451</v>
      </c>
      <c r="G1012" s="8" t="s">
        <v>2451</v>
      </c>
    </row>
    <row r="1013" spans="1:7" outlineLevel="2" x14ac:dyDescent="0.35">
      <c r="A1013" s="8" t="s">
        <v>2451</v>
      </c>
      <c r="B1013" s="8" t="s">
        <v>2451</v>
      </c>
      <c r="C1013" s="8"/>
      <c r="D1013" s="8" t="s">
        <v>1524</v>
      </c>
      <c r="E1013" s="8" t="s">
        <v>2451</v>
      </c>
      <c r="F1013" s="8" t="s">
        <v>2451</v>
      </c>
      <c r="G1013" s="8" t="s">
        <v>2451</v>
      </c>
    </row>
    <row r="1014" spans="1:7" outlineLevel="2" x14ac:dyDescent="0.35">
      <c r="A1014" s="8" t="s">
        <v>2451</v>
      </c>
      <c r="B1014" s="8" t="s">
        <v>2451</v>
      </c>
      <c r="C1014" s="8"/>
      <c r="D1014" s="8" t="s">
        <v>1525</v>
      </c>
      <c r="E1014" s="8" t="s">
        <v>2451</v>
      </c>
      <c r="F1014" s="8" t="s">
        <v>2451</v>
      </c>
      <c r="G1014" s="8" t="s">
        <v>2451</v>
      </c>
    </row>
    <row r="1015" spans="1:7" outlineLevel="2" x14ac:dyDescent="0.35">
      <c r="A1015" s="8" t="s">
        <v>2451</v>
      </c>
      <c r="B1015" s="8" t="s">
        <v>2451</v>
      </c>
      <c r="C1015" s="8"/>
      <c r="D1015" s="8" t="s">
        <v>1526</v>
      </c>
      <c r="E1015" s="8" t="s">
        <v>2451</v>
      </c>
      <c r="F1015" s="8" t="s">
        <v>2451</v>
      </c>
      <c r="G1015" s="8" t="s">
        <v>2451</v>
      </c>
    </row>
    <row r="1016" spans="1:7" outlineLevel="1" x14ac:dyDescent="0.35">
      <c r="A1016" s="8" t="s">
        <v>258</v>
      </c>
      <c r="B1016" s="8" t="s">
        <v>259</v>
      </c>
      <c r="C1016" s="8">
        <v>7</v>
      </c>
      <c r="D1016" s="8" t="s">
        <v>2451</v>
      </c>
      <c r="E1016" s="8" t="s">
        <v>2451</v>
      </c>
      <c r="F1016" s="8" t="s">
        <v>2451</v>
      </c>
      <c r="G1016" s="8" t="s">
        <v>2451</v>
      </c>
    </row>
    <row r="1017" spans="1:7" outlineLevel="2" x14ac:dyDescent="0.35">
      <c r="A1017" s="8" t="s">
        <v>2451</v>
      </c>
      <c r="B1017" s="8" t="s">
        <v>2451</v>
      </c>
      <c r="C1017" s="8"/>
      <c r="D1017" s="8" t="s">
        <v>1512</v>
      </c>
      <c r="E1017" s="8" t="s">
        <v>2451</v>
      </c>
      <c r="F1017" s="8" t="s">
        <v>2451</v>
      </c>
      <c r="G1017" s="8" t="s">
        <v>2451</v>
      </c>
    </row>
    <row r="1018" spans="1:7" outlineLevel="2" x14ac:dyDescent="0.35">
      <c r="A1018" s="8" t="s">
        <v>2451</v>
      </c>
      <c r="B1018" s="8" t="s">
        <v>2451</v>
      </c>
      <c r="C1018" s="8"/>
      <c r="D1018" s="8" t="s">
        <v>1513</v>
      </c>
      <c r="E1018" s="8" t="s">
        <v>2451</v>
      </c>
      <c r="F1018" s="8" t="s">
        <v>2451</v>
      </c>
      <c r="G1018" s="8" t="s">
        <v>2451</v>
      </c>
    </row>
    <row r="1019" spans="1:7" outlineLevel="2" x14ac:dyDescent="0.35">
      <c r="A1019" s="8" t="s">
        <v>2451</v>
      </c>
      <c r="B1019" s="8" t="s">
        <v>2451</v>
      </c>
      <c r="C1019" s="8"/>
      <c r="D1019" s="8" t="s">
        <v>1514</v>
      </c>
      <c r="E1019" s="8" t="s">
        <v>2451</v>
      </c>
      <c r="F1019" s="8" t="s">
        <v>2451</v>
      </c>
      <c r="G1019" s="8" t="s">
        <v>2451</v>
      </c>
    </row>
    <row r="1020" spans="1:7" outlineLevel="2" x14ac:dyDescent="0.35">
      <c r="A1020" s="8" t="s">
        <v>2451</v>
      </c>
      <c r="B1020" s="8" t="s">
        <v>2451</v>
      </c>
      <c r="C1020" s="8"/>
      <c r="D1020" s="8" t="s">
        <v>1515</v>
      </c>
      <c r="E1020" s="8" t="s">
        <v>2451</v>
      </c>
      <c r="F1020" s="8" t="s">
        <v>2451</v>
      </c>
      <c r="G1020" s="8" t="s">
        <v>2451</v>
      </c>
    </row>
    <row r="1021" spans="1:7" outlineLevel="2" x14ac:dyDescent="0.35">
      <c r="A1021" s="8" t="s">
        <v>2451</v>
      </c>
      <c r="B1021" s="8" t="s">
        <v>2451</v>
      </c>
      <c r="C1021" s="8"/>
      <c r="D1021" s="8" t="s">
        <v>1516</v>
      </c>
      <c r="E1021" s="8" t="s">
        <v>2451</v>
      </c>
      <c r="F1021" s="8" t="s">
        <v>2451</v>
      </c>
      <c r="G1021" s="8" t="s">
        <v>2451</v>
      </c>
    </row>
    <row r="1022" spans="1:7" outlineLevel="2" x14ac:dyDescent="0.35">
      <c r="A1022" s="8" t="s">
        <v>2451</v>
      </c>
      <c r="B1022" s="8" t="s">
        <v>2451</v>
      </c>
      <c r="C1022" s="8"/>
      <c r="D1022" s="8" t="s">
        <v>1517</v>
      </c>
      <c r="E1022" s="8" t="s">
        <v>2451</v>
      </c>
      <c r="F1022" s="8" t="s">
        <v>2451</v>
      </c>
      <c r="G1022" s="8" t="s">
        <v>2451</v>
      </c>
    </row>
    <row r="1023" spans="1:7" outlineLevel="2" x14ac:dyDescent="0.35">
      <c r="A1023" s="8" t="s">
        <v>2451</v>
      </c>
      <c r="B1023" s="8" t="s">
        <v>2451</v>
      </c>
      <c r="C1023" s="8"/>
      <c r="D1023" s="8" t="s">
        <v>1518</v>
      </c>
      <c r="E1023" s="8" t="s">
        <v>2451</v>
      </c>
      <c r="F1023" s="8" t="s">
        <v>2451</v>
      </c>
      <c r="G1023" s="8" t="s">
        <v>2451</v>
      </c>
    </row>
    <row r="1024" spans="1:7" outlineLevel="1" x14ac:dyDescent="0.35">
      <c r="A1024" s="8" t="s">
        <v>251</v>
      </c>
      <c r="B1024" s="8" t="s">
        <v>262</v>
      </c>
      <c r="C1024" s="8">
        <v>4</v>
      </c>
      <c r="D1024" s="8" t="s">
        <v>2451</v>
      </c>
      <c r="E1024" s="8" t="s">
        <v>2451</v>
      </c>
      <c r="F1024" s="8" t="s">
        <v>2451</v>
      </c>
      <c r="G1024" s="8" t="s">
        <v>2451</v>
      </c>
    </row>
    <row r="1025" spans="1:7" outlineLevel="2" x14ac:dyDescent="0.35">
      <c r="A1025" s="8" t="s">
        <v>2451</v>
      </c>
      <c r="B1025" s="8" t="s">
        <v>2451</v>
      </c>
      <c r="C1025" s="8"/>
      <c r="D1025" s="8" t="s">
        <v>1508</v>
      </c>
      <c r="E1025" s="8" t="s">
        <v>2451</v>
      </c>
      <c r="F1025" s="8" t="s">
        <v>2451</v>
      </c>
      <c r="G1025" s="8" t="s">
        <v>2451</v>
      </c>
    </row>
    <row r="1026" spans="1:7" outlineLevel="2" x14ac:dyDescent="0.35">
      <c r="A1026" s="8" t="s">
        <v>2451</v>
      </c>
      <c r="B1026" s="8" t="s">
        <v>2451</v>
      </c>
      <c r="C1026" s="8"/>
      <c r="D1026" s="8" t="s">
        <v>1509</v>
      </c>
      <c r="E1026" s="8" t="s">
        <v>2451</v>
      </c>
      <c r="F1026" s="8" t="s">
        <v>2451</v>
      </c>
      <c r="G1026" s="8" t="s">
        <v>2451</v>
      </c>
    </row>
    <row r="1027" spans="1:7" outlineLevel="2" x14ac:dyDescent="0.35">
      <c r="A1027" s="8" t="s">
        <v>2451</v>
      </c>
      <c r="B1027" s="8" t="s">
        <v>2451</v>
      </c>
      <c r="C1027" s="8"/>
      <c r="D1027" s="8" t="s">
        <v>1510</v>
      </c>
      <c r="E1027" s="8" t="s">
        <v>2451</v>
      </c>
      <c r="F1027" s="8" t="s">
        <v>2451</v>
      </c>
      <c r="G1027" s="8" t="s">
        <v>2451</v>
      </c>
    </row>
    <row r="1028" spans="1:7" outlineLevel="2" x14ac:dyDescent="0.35">
      <c r="A1028" s="8" t="s">
        <v>2451</v>
      </c>
      <c r="B1028" s="8" t="s">
        <v>2451</v>
      </c>
      <c r="C1028" s="8"/>
      <c r="D1028" s="8" t="s">
        <v>1511</v>
      </c>
      <c r="E1028" s="8" t="s">
        <v>2451</v>
      </c>
      <c r="F1028" s="8" t="s">
        <v>2451</v>
      </c>
      <c r="G1028" s="8" t="s">
        <v>2451</v>
      </c>
    </row>
    <row r="1029" spans="1:7" outlineLevel="1" x14ac:dyDescent="0.35">
      <c r="A1029" s="8" t="s">
        <v>266</v>
      </c>
      <c r="B1029" s="8" t="s">
        <v>267</v>
      </c>
      <c r="C1029" s="8">
        <v>1</v>
      </c>
      <c r="D1029" s="8" t="s">
        <v>2451</v>
      </c>
      <c r="E1029" s="8" t="s">
        <v>2451</v>
      </c>
      <c r="F1029" s="8" t="s">
        <v>2451</v>
      </c>
      <c r="G1029" s="8" t="s">
        <v>2451</v>
      </c>
    </row>
    <row r="1030" spans="1:7" outlineLevel="1" x14ac:dyDescent="0.35">
      <c r="A1030" s="8" t="s">
        <v>2451</v>
      </c>
      <c r="B1030" s="8" t="s">
        <v>2451</v>
      </c>
      <c r="C1030" s="8"/>
      <c r="D1030" s="8" t="s">
        <v>1507</v>
      </c>
      <c r="E1030" s="8" t="s">
        <v>2451</v>
      </c>
      <c r="F1030" s="8" t="s">
        <v>2451</v>
      </c>
      <c r="G1030" s="8" t="s">
        <v>2451</v>
      </c>
    </row>
    <row r="1031" spans="1:7" outlineLevel="1" x14ac:dyDescent="0.35">
      <c r="A1031" s="8" t="s">
        <v>266</v>
      </c>
      <c r="B1031" s="8" t="s">
        <v>273</v>
      </c>
      <c r="C1031" s="8"/>
      <c r="D1031" s="8" t="s">
        <v>2451</v>
      </c>
      <c r="E1031" s="8" t="s">
        <v>2451</v>
      </c>
      <c r="F1031" s="8" t="s">
        <v>2451</v>
      </c>
      <c r="G1031" s="8" t="s">
        <v>2451</v>
      </c>
    </row>
    <row r="1032" spans="1:7" outlineLevel="1" x14ac:dyDescent="0.35">
      <c r="A1032" s="8" t="s">
        <v>277</v>
      </c>
      <c r="B1032" s="8" t="s">
        <v>278</v>
      </c>
      <c r="C1032" s="8">
        <v>2</v>
      </c>
      <c r="D1032" s="8" t="s">
        <v>2451</v>
      </c>
      <c r="E1032" s="8" t="s">
        <v>2451</v>
      </c>
      <c r="F1032" s="8" t="s">
        <v>2451</v>
      </c>
      <c r="G1032" s="8" t="s">
        <v>2451</v>
      </c>
    </row>
    <row r="1033" spans="1:7" outlineLevel="2" x14ac:dyDescent="0.35">
      <c r="A1033" s="8" t="s">
        <v>2451</v>
      </c>
      <c r="B1033" s="8" t="s">
        <v>2451</v>
      </c>
      <c r="C1033" s="8"/>
      <c r="D1033" s="8" t="s">
        <v>1505</v>
      </c>
      <c r="E1033" s="8" t="s">
        <v>2451</v>
      </c>
      <c r="F1033" s="8" t="s">
        <v>2451</v>
      </c>
      <c r="G1033" s="8" t="s">
        <v>2451</v>
      </c>
    </row>
    <row r="1034" spans="1:7" outlineLevel="2" x14ac:dyDescent="0.35">
      <c r="A1034" s="8" t="s">
        <v>2451</v>
      </c>
      <c r="B1034" s="8" t="s">
        <v>2451</v>
      </c>
      <c r="C1034" s="8"/>
      <c r="D1034" s="8" t="s">
        <v>1506</v>
      </c>
      <c r="E1034" s="8" t="s">
        <v>2451</v>
      </c>
      <c r="F1034" s="8" t="s">
        <v>2451</v>
      </c>
      <c r="G1034" s="8" t="s">
        <v>2451</v>
      </c>
    </row>
    <row r="1035" spans="1:7" outlineLevel="1" x14ac:dyDescent="0.35">
      <c r="A1035" s="8" t="s">
        <v>277</v>
      </c>
      <c r="B1035" s="8" t="s">
        <v>283</v>
      </c>
      <c r="C1035" s="8">
        <v>2</v>
      </c>
      <c r="D1035" s="8" t="s">
        <v>2451</v>
      </c>
      <c r="E1035" s="8" t="s">
        <v>2451</v>
      </c>
      <c r="F1035" s="8" t="s">
        <v>2451</v>
      </c>
      <c r="G1035" s="8" t="s">
        <v>2451</v>
      </c>
    </row>
    <row r="1036" spans="1:7" outlineLevel="2" x14ac:dyDescent="0.35">
      <c r="A1036" s="8" t="s">
        <v>2451</v>
      </c>
      <c r="B1036" s="8" t="s">
        <v>2451</v>
      </c>
      <c r="C1036" s="8"/>
      <c r="D1036" s="8" t="s">
        <v>1503</v>
      </c>
      <c r="E1036" s="8" t="s">
        <v>2451</v>
      </c>
      <c r="F1036" s="8" t="s">
        <v>2451</v>
      </c>
      <c r="G1036" s="8" t="s">
        <v>2451</v>
      </c>
    </row>
    <row r="1037" spans="1:7" outlineLevel="2" x14ac:dyDescent="0.35">
      <c r="A1037" s="8" t="s">
        <v>2451</v>
      </c>
      <c r="B1037" s="8" t="s">
        <v>2451</v>
      </c>
      <c r="C1037" s="8"/>
      <c r="D1037" s="8" t="s">
        <v>1504</v>
      </c>
      <c r="E1037" s="8" t="s">
        <v>2451</v>
      </c>
      <c r="F1037" s="8" t="s">
        <v>2451</v>
      </c>
      <c r="G1037" s="8" t="s">
        <v>2451</v>
      </c>
    </row>
    <row r="1038" spans="1:7" outlineLevel="1" x14ac:dyDescent="0.35">
      <c r="A1038" s="8" t="s">
        <v>288</v>
      </c>
      <c r="B1038" s="8" t="s">
        <v>289</v>
      </c>
      <c r="C1038" s="8">
        <v>2</v>
      </c>
      <c r="D1038" s="8" t="s">
        <v>2451</v>
      </c>
      <c r="E1038" s="8" t="s">
        <v>2451</v>
      </c>
      <c r="F1038" s="8" t="s">
        <v>2451</v>
      </c>
      <c r="G1038" s="8" t="s">
        <v>2451</v>
      </c>
    </row>
    <row r="1039" spans="1:7" outlineLevel="2" x14ac:dyDescent="0.35">
      <c r="A1039" s="8" t="s">
        <v>2451</v>
      </c>
      <c r="B1039" s="8" t="s">
        <v>2451</v>
      </c>
      <c r="C1039" s="8"/>
      <c r="D1039" s="8" t="s">
        <v>1501</v>
      </c>
      <c r="E1039" s="8" t="s">
        <v>2451</v>
      </c>
      <c r="F1039" s="8" t="s">
        <v>2451</v>
      </c>
      <c r="G1039" s="8" t="s">
        <v>2451</v>
      </c>
    </row>
    <row r="1040" spans="1:7" outlineLevel="2" x14ac:dyDescent="0.35">
      <c r="A1040" s="8" t="s">
        <v>2451</v>
      </c>
      <c r="B1040" s="8" t="s">
        <v>2451</v>
      </c>
      <c r="C1040" s="8"/>
      <c r="D1040" s="8" t="s">
        <v>1502</v>
      </c>
      <c r="E1040" s="8" t="s">
        <v>2451</v>
      </c>
      <c r="F1040" s="8" t="s">
        <v>2451</v>
      </c>
      <c r="G1040" s="8" t="s">
        <v>2451</v>
      </c>
    </row>
    <row r="1041" spans="1:7" outlineLevel="1" x14ac:dyDescent="0.35">
      <c r="A1041" s="8" t="s">
        <v>266</v>
      </c>
      <c r="B1041" s="8" t="s">
        <v>293</v>
      </c>
      <c r="C1041" s="8">
        <v>4</v>
      </c>
      <c r="D1041" s="8" t="s">
        <v>2451</v>
      </c>
      <c r="E1041" s="8" t="s">
        <v>2451</v>
      </c>
      <c r="F1041" s="8" t="s">
        <v>2451</v>
      </c>
      <c r="G1041" s="8" t="s">
        <v>2451</v>
      </c>
    </row>
    <row r="1042" spans="1:7" outlineLevel="2" x14ac:dyDescent="0.35">
      <c r="A1042" s="8" t="s">
        <v>2451</v>
      </c>
      <c r="B1042" s="8" t="s">
        <v>2451</v>
      </c>
      <c r="C1042" s="8"/>
      <c r="D1042" s="8" t="s">
        <v>1497</v>
      </c>
      <c r="E1042" s="8" t="s">
        <v>2451</v>
      </c>
      <c r="F1042" s="8" t="s">
        <v>2451</v>
      </c>
      <c r="G1042" s="8" t="s">
        <v>2451</v>
      </c>
    </row>
    <row r="1043" spans="1:7" outlineLevel="2" x14ac:dyDescent="0.35">
      <c r="A1043" s="8" t="s">
        <v>2451</v>
      </c>
      <c r="B1043" s="8" t="s">
        <v>2451</v>
      </c>
      <c r="C1043" s="8"/>
      <c r="D1043" s="8" t="s">
        <v>1498</v>
      </c>
      <c r="E1043" s="8" t="s">
        <v>2451</v>
      </c>
      <c r="F1043" s="8" t="s">
        <v>2451</v>
      </c>
      <c r="G1043" s="8" t="s">
        <v>2451</v>
      </c>
    </row>
    <row r="1044" spans="1:7" outlineLevel="2" x14ac:dyDescent="0.35">
      <c r="A1044" s="8" t="s">
        <v>2451</v>
      </c>
      <c r="B1044" s="8" t="s">
        <v>2451</v>
      </c>
      <c r="C1044" s="8"/>
      <c r="D1044" s="8" t="s">
        <v>1499</v>
      </c>
      <c r="E1044" s="8" t="s">
        <v>2451</v>
      </c>
      <c r="F1044" s="8" t="s">
        <v>2451</v>
      </c>
      <c r="G1044" s="8" t="s">
        <v>2451</v>
      </c>
    </row>
    <row r="1045" spans="1:7" outlineLevel="2" x14ac:dyDescent="0.35">
      <c r="A1045" s="8" t="s">
        <v>2451</v>
      </c>
      <c r="B1045" s="8" t="s">
        <v>2451</v>
      </c>
      <c r="C1045" s="8"/>
      <c r="D1045" s="8" t="s">
        <v>1500</v>
      </c>
      <c r="E1045" s="8" t="s">
        <v>2451</v>
      </c>
      <c r="F1045" s="8" t="s">
        <v>2451</v>
      </c>
      <c r="G1045" s="8" t="s">
        <v>2451</v>
      </c>
    </row>
    <row r="1046" spans="1:7" outlineLevel="1" x14ac:dyDescent="0.35">
      <c r="A1046" s="8" t="s">
        <v>299</v>
      </c>
      <c r="B1046" s="8" t="s">
        <v>300</v>
      </c>
      <c r="C1046" s="8">
        <v>2</v>
      </c>
      <c r="D1046" s="8" t="s">
        <v>2451</v>
      </c>
      <c r="E1046" s="8" t="s">
        <v>2451</v>
      </c>
      <c r="F1046" s="8" t="s">
        <v>2451</v>
      </c>
      <c r="G1046" s="8" t="s">
        <v>2451</v>
      </c>
    </row>
    <row r="1047" spans="1:7" outlineLevel="2" x14ac:dyDescent="0.35">
      <c r="A1047" s="8" t="s">
        <v>2451</v>
      </c>
      <c r="B1047" s="8" t="s">
        <v>2451</v>
      </c>
      <c r="C1047" s="8"/>
      <c r="D1047" s="8" t="s">
        <v>1495</v>
      </c>
      <c r="E1047" s="8" t="s">
        <v>2451</v>
      </c>
      <c r="F1047" s="8" t="s">
        <v>2451</v>
      </c>
      <c r="G1047" s="8" t="s">
        <v>2451</v>
      </c>
    </row>
    <row r="1048" spans="1:7" outlineLevel="2" x14ac:dyDescent="0.35">
      <c r="A1048" s="8" t="s">
        <v>2451</v>
      </c>
      <c r="B1048" s="8" t="s">
        <v>2451</v>
      </c>
      <c r="C1048" s="8"/>
      <c r="D1048" s="8" t="s">
        <v>1496</v>
      </c>
      <c r="E1048" s="8" t="s">
        <v>2451</v>
      </c>
      <c r="F1048" s="8" t="s">
        <v>2451</v>
      </c>
      <c r="G1048" s="8" t="s">
        <v>2451</v>
      </c>
    </row>
    <row r="1049" spans="1:7" outlineLevel="1" x14ac:dyDescent="0.35">
      <c r="A1049" s="8" t="s">
        <v>299</v>
      </c>
      <c r="B1049" s="8" t="s">
        <v>302</v>
      </c>
      <c r="C1049" s="8">
        <v>1</v>
      </c>
      <c r="D1049" s="8" t="s">
        <v>2451</v>
      </c>
      <c r="E1049" s="8" t="s">
        <v>2451</v>
      </c>
      <c r="F1049" s="8" t="s">
        <v>2451</v>
      </c>
      <c r="G1049" s="8" t="s">
        <v>2451</v>
      </c>
    </row>
    <row r="1050" spans="1:7" outlineLevel="1" x14ac:dyDescent="0.35">
      <c r="A1050" s="8" t="s">
        <v>2451</v>
      </c>
      <c r="B1050" s="8" t="s">
        <v>2451</v>
      </c>
      <c r="C1050" s="8"/>
      <c r="D1050" s="8" t="s">
        <v>1494</v>
      </c>
      <c r="E1050" s="8" t="s">
        <v>2451</v>
      </c>
      <c r="F1050" s="8" t="s">
        <v>2451</v>
      </c>
      <c r="G1050" s="8" t="s">
        <v>2451</v>
      </c>
    </row>
    <row r="1051" spans="1:7" outlineLevel="1" x14ac:dyDescent="0.35">
      <c r="A1051" s="8" t="s">
        <v>299</v>
      </c>
      <c r="B1051" s="8" t="s">
        <v>306</v>
      </c>
      <c r="C1051" s="8">
        <v>1</v>
      </c>
      <c r="D1051" s="8" t="s">
        <v>2451</v>
      </c>
      <c r="E1051" s="8" t="s">
        <v>2451</v>
      </c>
      <c r="F1051" s="8" t="s">
        <v>2451</v>
      </c>
      <c r="G1051" s="8" t="s">
        <v>2451</v>
      </c>
    </row>
    <row r="1052" spans="1:7" outlineLevel="1" x14ac:dyDescent="0.35">
      <c r="A1052" s="8" t="s">
        <v>2451</v>
      </c>
      <c r="B1052" s="8" t="s">
        <v>2451</v>
      </c>
      <c r="C1052" s="8"/>
      <c r="D1052" s="8" t="s">
        <v>1493</v>
      </c>
      <c r="E1052" s="8" t="s">
        <v>2451</v>
      </c>
      <c r="F1052" s="8" t="s">
        <v>2451</v>
      </c>
      <c r="G1052" s="8" t="s">
        <v>2451</v>
      </c>
    </row>
    <row r="1053" spans="1:7" outlineLevel="1" x14ac:dyDescent="0.35">
      <c r="A1053" s="8" t="s">
        <v>299</v>
      </c>
      <c r="B1053" s="8" t="s">
        <v>309</v>
      </c>
      <c r="C1053" s="8">
        <v>2</v>
      </c>
      <c r="D1053" s="8" t="s">
        <v>2451</v>
      </c>
      <c r="E1053" s="8" t="s">
        <v>2451</v>
      </c>
      <c r="F1053" s="8" t="s">
        <v>2451</v>
      </c>
      <c r="G1053" s="8" t="s">
        <v>2451</v>
      </c>
    </row>
    <row r="1054" spans="1:7" outlineLevel="2" x14ac:dyDescent="0.35">
      <c r="A1054" s="8" t="s">
        <v>2451</v>
      </c>
      <c r="B1054" s="8" t="s">
        <v>2451</v>
      </c>
      <c r="C1054" s="8"/>
      <c r="D1054" s="8" t="s">
        <v>1491</v>
      </c>
      <c r="E1054" s="8" t="s">
        <v>2451</v>
      </c>
      <c r="F1054" s="8" t="s">
        <v>2451</v>
      </c>
      <c r="G1054" s="8" t="s">
        <v>2451</v>
      </c>
    </row>
    <row r="1055" spans="1:7" outlineLevel="2" x14ac:dyDescent="0.35">
      <c r="A1055" s="8" t="s">
        <v>2451</v>
      </c>
      <c r="B1055" s="8" t="s">
        <v>2451</v>
      </c>
      <c r="C1055" s="8"/>
      <c r="D1055" s="8" t="s">
        <v>1492</v>
      </c>
      <c r="E1055" s="8" t="s">
        <v>2451</v>
      </c>
      <c r="F1055" s="8" t="s">
        <v>2451</v>
      </c>
      <c r="G1055" s="8" t="s">
        <v>2451</v>
      </c>
    </row>
    <row r="1056" spans="1:7" outlineLevel="1" x14ac:dyDescent="0.35">
      <c r="A1056" s="8" t="s">
        <v>299</v>
      </c>
      <c r="B1056" s="8" t="s">
        <v>313</v>
      </c>
      <c r="C1056" s="8">
        <v>1</v>
      </c>
      <c r="D1056" s="8" t="s">
        <v>2451</v>
      </c>
      <c r="E1056" s="8" t="s">
        <v>2451</v>
      </c>
      <c r="F1056" s="8" t="s">
        <v>2451</v>
      </c>
      <c r="G1056" s="8" t="s">
        <v>2451</v>
      </c>
    </row>
    <row r="1057" spans="1:7" outlineLevel="1" x14ac:dyDescent="0.35">
      <c r="A1057" s="8" t="s">
        <v>2451</v>
      </c>
      <c r="B1057" s="8" t="s">
        <v>2451</v>
      </c>
      <c r="C1057" s="8"/>
      <c r="D1057" s="8" t="s">
        <v>1490</v>
      </c>
      <c r="E1057" s="8" t="s">
        <v>2451</v>
      </c>
      <c r="F1057" s="8" t="s">
        <v>2451</v>
      </c>
      <c r="G1057" s="8" t="s">
        <v>2451</v>
      </c>
    </row>
    <row r="1058" spans="1:7" outlineLevel="1" x14ac:dyDescent="0.35">
      <c r="A1058" s="8" t="s">
        <v>299</v>
      </c>
      <c r="B1058" s="8" t="s">
        <v>316</v>
      </c>
      <c r="C1058" s="8">
        <v>2</v>
      </c>
      <c r="D1058" s="8" t="s">
        <v>2451</v>
      </c>
      <c r="E1058" s="8" t="s">
        <v>2451</v>
      </c>
      <c r="F1058" s="8" t="s">
        <v>2451</v>
      </c>
      <c r="G1058" s="8" t="s">
        <v>2451</v>
      </c>
    </row>
    <row r="1059" spans="1:7" outlineLevel="2" x14ac:dyDescent="0.35">
      <c r="A1059" s="8" t="s">
        <v>2451</v>
      </c>
      <c r="B1059" s="8" t="s">
        <v>2451</v>
      </c>
      <c r="C1059" s="8"/>
      <c r="D1059" s="8" t="s">
        <v>1488</v>
      </c>
      <c r="E1059" s="8" t="s">
        <v>2451</v>
      </c>
      <c r="F1059" s="8" t="s">
        <v>2451</v>
      </c>
      <c r="G1059" s="8" t="s">
        <v>2451</v>
      </c>
    </row>
    <row r="1060" spans="1:7" outlineLevel="2" x14ac:dyDescent="0.35">
      <c r="A1060" s="8" t="s">
        <v>2451</v>
      </c>
      <c r="B1060" s="8" t="s">
        <v>2451</v>
      </c>
      <c r="C1060" s="8"/>
      <c r="D1060" s="8" t="s">
        <v>1489</v>
      </c>
      <c r="E1060" s="8" t="s">
        <v>2451</v>
      </c>
      <c r="F1060" s="8" t="s">
        <v>2451</v>
      </c>
      <c r="G1060" s="8" t="s">
        <v>2451</v>
      </c>
    </row>
    <row r="1061" spans="1:7" outlineLevel="1" x14ac:dyDescent="0.35">
      <c r="A1061" s="8" t="s">
        <v>299</v>
      </c>
      <c r="B1061" s="8" t="s">
        <v>319</v>
      </c>
      <c r="C1061" s="8">
        <v>2</v>
      </c>
      <c r="D1061" s="8" t="s">
        <v>2451</v>
      </c>
      <c r="E1061" s="8" t="s">
        <v>2451</v>
      </c>
      <c r="F1061" s="8" t="s">
        <v>2451</v>
      </c>
      <c r="G1061" s="8" t="s">
        <v>2451</v>
      </c>
    </row>
    <row r="1062" spans="1:7" outlineLevel="2" x14ac:dyDescent="0.35">
      <c r="A1062" s="8" t="s">
        <v>2451</v>
      </c>
      <c r="B1062" s="8" t="s">
        <v>2451</v>
      </c>
      <c r="C1062" s="8"/>
      <c r="D1062" s="8" t="s">
        <v>1486</v>
      </c>
      <c r="E1062" s="8" t="s">
        <v>2451</v>
      </c>
      <c r="F1062" s="8" t="s">
        <v>2451</v>
      </c>
      <c r="G1062" s="8" t="s">
        <v>2451</v>
      </c>
    </row>
    <row r="1063" spans="1:7" outlineLevel="2" x14ac:dyDescent="0.35">
      <c r="A1063" s="8" t="s">
        <v>2451</v>
      </c>
      <c r="B1063" s="8" t="s">
        <v>2451</v>
      </c>
      <c r="C1063" s="8"/>
      <c r="D1063" s="8" t="s">
        <v>1487</v>
      </c>
      <c r="E1063" s="8" t="s">
        <v>2451</v>
      </c>
      <c r="F1063" s="8" t="s">
        <v>2451</v>
      </c>
      <c r="G1063" s="8" t="s">
        <v>2451</v>
      </c>
    </row>
    <row r="1064" spans="1:7" outlineLevel="1" x14ac:dyDescent="0.35">
      <c r="A1064" s="8" t="s">
        <v>266</v>
      </c>
      <c r="B1064" s="8" t="s">
        <v>322</v>
      </c>
      <c r="C1064" s="8">
        <v>2</v>
      </c>
      <c r="D1064" s="8" t="s">
        <v>2451</v>
      </c>
      <c r="E1064" s="8" t="s">
        <v>2451</v>
      </c>
      <c r="F1064" s="8" t="s">
        <v>2451</v>
      </c>
      <c r="G1064" s="8" t="s">
        <v>2451</v>
      </c>
    </row>
    <row r="1065" spans="1:7" outlineLevel="2" x14ac:dyDescent="0.35">
      <c r="A1065" s="8" t="s">
        <v>2451</v>
      </c>
      <c r="B1065" s="8" t="s">
        <v>2451</v>
      </c>
      <c r="C1065" s="8"/>
      <c r="D1065" s="8" t="s">
        <v>1484</v>
      </c>
      <c r="E1065" s="8" t="s">
        <v>2451</v>
      </c>
      <c r="F1065" s="8" t="s">
        <v>2451</v>
      </c>
      <c r="G1065" s="8" t="s">
        <v>2451</v>
      </c>
    </row>
    <row r="1066" spans="1:7" outlineLevel="2" x14ac:dyDescent="0.35">
      <c r="A1066" s="8" t="s">
        <v>2451</v>
      </c>
      <c r="B1066" s="8" t="s">
        <v>2451</v>
      </c>
      <c r="C1066" s="8"/>
      <c r="D1066" s="8" t="s">
        <v>1485</v>
      </c>
      <c r="E1066" s="8" t="s">
        <v>2451</v>
      </c>
      <c r="F1066" s="8" t="s">
        <v>2451</v>
      </c>
      <c r="G1066" s="8" t="s">
        <v>2451</v>
      </c>
    </row>
    <row r="1067" spans="1:7" outlineLevel="1" x14ac:dyDescent="0.35">
      <c r="A1067" s="8" t="s">
        <v>266</v>
      </c>
      <c r="B1067" s="8" t="s">
        <v>326</v>
      </c>
      <c r="C1067" s="8">
        <v>2</v>
      </c>
      <c r="D1067" s="8" t="s">
        <v>2451</v>
      </c>
      <c r="E1067" s="8" t="s">
        <v>2451</v>
      </c>
      <c r="F1067" s="8" t="s">
        <v>2451</v>
      </c>
      <c r="G1067" s="8" t="s">
        <v>2451</v>
      </c>
    </row>
    <row r="1068" spans="1:7" outlineLevel="2" x14ac:dyDescent="0.35">
      <c r="A1068" s="8" t="s">
        <v>2451</v>
      </c>
      <c r="B1068" s="8" t="s">
        <v>2451</v>
      </c>
      <c r="C1068" s="8"/>
      <c r="D1068" s="8" t="s">
        <v>1482</v>
      </c>
      <c r="E1068" s="8" t="s">
        <v>2451</v>
      </c>
      <c r="F1068" s="8" t="s">
        <v>2451</v>
      </c>
      <c r="G1068" s="8" t="s">
        <v>2451</v>
      </c>
    </row>
    <row r="1069" spans="1:7" outlineLevel="2" x14ac:dyDescent="0.35">
      <c r="A1069" s="8" t="s">
        <v>2451</v>
      </c>
      <c r="B1069" s="8" t="s">
        <v>2451</v>
      </c>
      <c r="C1069" s="8"/>
      <c r="D1069" s="8" t="s">
        <v>1483</v>
      </c>
      <c r="E1069" s="8" t="s">
        <v>2451</v>
      </c>
      <c r="F1069" s="8" t="s">
        <v>2451</v>
      </c>
      <c r="G1069" s="8" t="s">
        <v>2451</v>
      </c>
    </row>
    <row r="1070" spans="1:7" outlineLevel="1" x14ac:dyDescent="0.35">
      <c r="A1070" s="8" t="s">
        <v>266</v>
      </c>
      <c r="B1070" s="8" t="s">
        <v>330</v>
      </c>
      <c r="C1070" s="8">
        <v>2</v>
      </c>
      <c r="D1070" s="8" t="s">
        <v>2451</v>
      </c>
      <c r="E1070" s="8" t="s">
        <v>2451</v>
      </c>
      <c r="F1070" s="8" t="s">
        <v>2451</v>
      </c>
      <c r="G1070" s="8" t="s">
        <v>2451</v>
      </c>
    </row>
    <row r="1071" spans="1:7" outlineLevel="2" x14ac:dyDescent="0.35">
      <c r="A1071" s="8" t="s">
        <v>2451</v>
      </c>
      <c r="B1071" s="8" t="s">
        <v>2451</v>
      </c>
      <c r="C1071" s="8"/>
      <c r="D1071" s="8" t="s">
        <v>1480</v>
      </c>
      <c r="E1071" s="8" t="s">
        <v>2451</v>
      </c>
      <c r="F1071" s="8" t="s">
        <v>2451</v>
      </c>
      <c r="G1071" s="8" t="s">
        <v>2451</v>
      </c>
    </row>
    <row r="1072" spans="1:7" outlineLevel="2" x14ac:dyDescent="0.35">
      <c r="A1072" s="8" t="s">
        <v>2451</v>
      </c>
      <c r="B1072" s="8" t="s">
        <v>2451</v>
      </c>
      <c r="C1072" s="8"/>
      <c r="D1072" s="8" t="s">
        <v>1481</v>
      </c>
      <c r="E1072" s="8" t="s">
        <v>2451</v>
      </c>
      <c r="F1072" s="8" t="s">
        <v>2451</v>
      </c>
      <c r="G1072" s="8" t="s">
        <v>2451</v>
      </c>
    </row>
    <row r="1073" spans="1:7" outlineLevel="1" x14ac:dyDescent="0.35">
      <c r="A1073" s="8" t="s">
        <v>266</v>
      </c>
      <c r="B1073" s="8" t="s">
        <v>334</v>
      </c>
      <c r="C1073" s="8">
        <v>2</v>
      </c>
      <c r="D1073" s="8" t="s">
        <v>2451</v>
      </c>
      <c r="E1073" s="8" t="s">
        <v>2451</v>
      </c>
      <c r="F1073" s="8" t="s">
        <v>2451</v>
      </c>
      <c r="G1073" s="8" t="s">
        <v>2451</v>
      </c>
    </row>
    <row r="1074" spans="1:7" outlineLevel="2" x14ac:dyDescent="0.35">
      <c r="A1074" s="8" t="s">
        <v>2451</v>
      </c>
      <c r="B1074" s="8" t="s">
        <v>2451</v>
      </c>
      <c r="C1074" s="8"/>
      <c r="D1074" s="8" t="s">
        <v>1478</v>
      </c>
      <c r="E1074" s="8" t="s">
        <v>2451</v>
      </c>
      <c r="F1074" s="8" t="s">
        <v>2451</v>
      </c>
      <c r="G1074" s="8" t="s">
        <v>2451</v>
      </c>
    </row>
    <row r="1075" spans="1:7" outlineLevel="2" x14ac:dyDescent="0.35">
      <c r="A1075" s="8" t="s">
        <v>2451</v>
      </c>
      <c r="B1075" s="8" t="s">
        <v>2451</v>
      </c>
      <c r="C1075" s="8"/>
      <c r="D1075" s="8" t="s">
        <v>1479</v>
      </c>
      <c r="E1075" s="8" t="s">
        <v>2451</v>
      </c>
      <c r="F1075" s="8" t="s">
        <v>2451</v>
      </c>
      <c r="G1075" s="8" t="s">
        <v>2451</v>
      </c>
    </row>
    <row r="1076" spans="1:7" outlineLevel="1" x14ac:dyDescent="0.35">
      <c r="A1076" s="8" t="s">
        <v>266</v>
      </c>
      <c r="B1076" s="8" t="s">
        <v>337</v>
      </c>
      <c r="C1076" s="8">
        <v>4</v>
      </c>
      <c r="D1076" s="8" t="s">
        <v>2451</v>
      </c>
      <c r="E1076" s="8" t="s">
        <v>2451</v>
      </c>
      <c r="F1076" s="8" t="s">
        <v>2451</v>
      </c>
      <c r="G1076" s="8" t="s">
        <v>2451</v>
      </c>
    </row>
    <row r="1077" spans="1:7" outlineLevel="2" x14ac:dyDescent="0.35">
      <c r="A1077" s="8" t="s">
        <v>2451</v>
      </c>
      <c r="B1077" s="8" t="s">
        <v>2451</v>
      </c>
      <c r="C1077" s="8"/>
      <c r="D1077" s="8" t="s">
        <v>1474</v>
      </c>
      <c r="E1077" s="8" t="s">
        <v>2451</v>
      </c>
      <c r="F1077" s="8" t="s">
        <v>2451</v>
      </c>
      <c r="G1077" s="8" t="s">
        <v>2451</v>
      </c>
    </row>
    <row r="1078" spans="1:7" outlineLevel="2" x14ac:dyDescent="0.35">
      <c r="A1078" s="8" t="s">
        <v>2451</v>
      </c>
      <c r="B1078" s="8" t="s">
        <v>2451</v>
      </c>
      <c r="C1078" s="8"/>
      <c r="D1078" s="8" t="s">
        <v>1475</v>
      </c>
      <c r="E1078" s="8" t="s">
        <v>2451</v>
      </c>
      <c r="F1078" s="8" t="s">
        <v>2451</v>
      </c>
      <c r="G1078" s="8" t="s">
        <v>2451</v>
      </c>
    </row>
    <row r="1079" spans="1:7" outlineLevel="2" x14ac:dyDescent="0.35">
      <c r="A1079" s="8" t="s">
        <v>2451</v>
      </c>
      <c r="B1079" s="8" t="s">
        <v>2451</v>
      </c>
      <c r="C1079" s="8"/>
      <c r="D1079" s="8" t="s">
        <v>1476</v>
      </c>
      <c r="E1079" s="8" t="s">
        <v>2451</v>
      </c>
      <c r="F1079" s="8" t="s">
        <v>2451</v>
      </c>
      <c r="G1079" s="8" t="s">
        <v>2451</v>
      </c>
    </row>
    <row r="1080" spans="1:7" outlineLevel="2" x14ac:dyDescent="0.35">
      <c r="A1080" s="8" t="s">
        <v>2451</v>
      </c>
      <c r="B1080" s="8" t="s">
        <v>2451</v>
      </c>
      <c r="C1080" s="8"/>
      <c r="D1080" s="8" t="s">
        <v>1477</v>
      </c>
      <c r="E1080" s="8" t="s">
        <v>2451</v>
      </c>
      <c r="F1080" s="8" t="s">
        <v>2451</v>
      </c>
      <c r="G1080" s="8" t="s">
        <v>2451</v>
      </c>
    </row>
    <row r="1081" spans="1:7" outlineLevel="1" x14ac:dyDescent="0.35">
      <c r="A1081" s="8" t="s">
        <v>154</v>
      </c>
      <c r="B1081" s="8" t="s">
        <v>340</v>
      </c>
      <c r="C1081" s="8">
        <v>2</v>
      </c>
      <c r="D1081" s="8" t="s">
        <v>2451</v>
      </c>
      <c r="E1081" s="8" t="s">
        <v>2451</v>
      </c>
      <c r="F1081" s="8" t="s">
        <v>2451</v>
      </c>
      <c r="G1081" s="8" t="s">
        <v>2451</v>
      </c>
    </row>
    <row r="1082" spans="1:7" outlineLevel="2" x14ac:dyDescent="0.35">
      <c r="A1082" s="8" t="s">
        <v>2451</v>
      </c>
      <c r="B1082" s="8" t="s">
        <v>2451</v>
      </c>
      <c r="C1082" s="8"/>
      <c r="D1082" s="8" t="s">
        <v>1472</v>
      </c>
      <c r="E1082" s="8" t="s">
        <v>2451</v>
      </c>
      <c r="F1082" s="8" t="s">
        <v>2451</v>
      </c>
      <c r="G1082" s="8" t="s">
        <v>2451</v>
      </c>
    </row>
    <row r="1083" spans="1:7" outlineLevel="2" x14ac:dyDescent="0.35">
      <c r="A1083" s="8" t="s">
        <v>2451</v>
      </c>
      <c r="B1083" s="8" t="s">
        <v>2451</v>
      </c>
      <c r="C1083" s="8"/>
      <c r="D1083" s="8" t="s">
        <v>1473</v>
      </c>
      <c r="E1083" s="8" t="s">
        <v>2451</v>
      </c>
      <c r="F1083" s="8" t="s">
        <v>2451</v>
      </c>
      <c r="G1083" s="8" t="s">
        <v>2451</v>
      </c>
    </row>
    <row r="1084" spans="1:7" outlineLevel="1" x14ac:dyDescent="0.35">
      <c r="A1084" s="8" t="s">
        <v>212</v>
      </c>
      <c r="B1084" s="8" t="s">
        <v>342</v>
      </c>
      <c r="C1084" s="8">
        <v>3</v>
      </c>
      <c r="D1084" s="8" t="s">
        <v>2451</v>
      </c>
      <c r="E1084" s="8" t="s">
        <v>2451</v>
      </c>
      <c r="F1084" s="8" t="s">
        <v>2451</v>
      </c>
      <c r="G1084" s="8" t="s">
        <v>2451</v>
      </c>
    </row>
    <row r="1085" spans="1:7" outlineLevel="2" x14ac:dyDescent="0.35">
      <c r="A1085" s="8" t="s">
        <v>2451</v>
      </c>
      <c r="B1085" s="8" t="s">
        <v>2451</v>
      </c>
      <c r="C1085" s="8"/>
      <c r="D1085" s="8" t="s">
        <v>1469</v>
      </c>
      <c r="E1085" s="8" t="s">
        <v>2451</v>
      </c>
      <c r="F1085" s="8" t="s">
        <v>2451</v>
      </c>
      <c r="G1085" s="8" t="s">
        <v>2451</v>
      </c>
    </row>
    <row r="1086" spans="1:7" outlineLevel="2" x14ac:dyDescent="0.35">
      <c r="A1086" s="8" t="s">
        <v>2451</v>
      </c>
      <c r="B1086" s="8" t="s">
        <v>2451</v>
      </c>
      <c r="C1086" s="8"/>
      <c r="D1086" s="8" t="s">
        <v>1470</v>
      </c>
      <c r="E1086" s="8" t="s">
        <v>2451</v>
      </c>
      <c r="F1086" s="8" t="s">
        <v>2451</v>
      </c>
      <c r="G1086" s="8" t="s">
        <v>2451</v>
      </c>
    </row>
    <row r="1087" spans="1:7" outlineLevel="2" x14ac:dyDescent="0.35">
      <c r="A1087" s="8" t="s">
        <v>2451</v>
      </c>
      <c r="B1087" s="8" t="s">
        <v>2451</v>
      </c>
      <c r="C1087" s="8"/>
      <c r="D1087" s="8" t="s">
        <v>1471</v>
      </c>
      <c r="E1087" s="8" t="s">
        <v>2451</v>
      </c>
      <c r="F1087" s="8" t="s">
        <v>2451</v>
      </c>
      <c r="G1087" s="8" t="s">
        <v>2451</v>
      </c>
    </row>
    <row r="1088" spans="1:7" outlineLevel="1" x14ac:dyDescent="0.35">
      <c r="A1088" s="8" t="s">
        <v>346</v>
      </c>
      <c r="B1088" s="8" t="s">
        <v>347</v>
      </c>
      <c r="C1088" s="8">
        <v>4</v>
      </c>
      <c r="D1088" s="8" t="s">
        <v>2451</v>
      </c>
      <c r="E1088" s="8" t="s">
        <v>2451</v>
      </c>
      <c r="F1088" s="8" t="s">
        <v>2451</v>
      </c>
      <c r="G1088" s="8" t="s">
        <v>2451</v>
      </c>
    </row>
    <row r="1089" spans="1:7" outlineLevel="2" x14ac:dyDescent="0.35">
      <c r="A1089" s="8" t="s">
        <v>2451</v>
      </c>
      <c r="B1089" s="8" t="s">
        <v>2451</v>
      </c>
      <c r="C1089" s="8"/>
      <c r="D1089" s="8" t="s">
        <v>1465</v>
      </c>
      <c r="E1089" s="8" t="s">
        <v>2451</v>
      </c>
      <c r="F1089" s="8" t="s">
        <v>2451</v>
      </c>
      <c r="G1089" s="8" t="s">
        <v>2451</v>
      </c>
    </row>
    <row r="1090" spans="1:7" outlineLevel="2" x14ac:dyDescent="0.35">
      <c r="A1090" s="8" t="s">
        <v>2451</v>
      </c>
      <c r="B1090" s="8" t="s">
        <v>2451</v>
      </c>
      <c r="C1090" s="8"/>
      <c r="D1090" s="8" t="s">
        <v>1466</v>
      </c>
      <c r="E1090" s="8" t="s">
        <v>2451</v>
      </c>
      <c r="F1090" s="8" t="s">
        <v>2451</v>
      </c>
      <c r="G1090" s="8" t="s">
        <v>2451</v>
      </c>
    </row>
    <row r="1091" spans="1:7" outlineLevel="2" x14ac:dyDescent="0.35">
      <c r="A1091" s="8" t="s">
        <v>2451</v>
      </c>
      <c r="B1091" s="8" t="s">
        <v>2451</v>
      </c>
      <c r="C1091" s="8"/>
      <c r="D1091" s="8" t="s">
        <v>1467</v>
      </c>
      <c r="E1091" s="8" t="s">
        <v>2451</v>
      </c>
      <c r="F1091" s="8" t="s">
        <v>2451</v>
      </c>
      <c r="G1091" s="8" t="s">
        <v>2451</v>
      </c>
    </row>
    <row r="1092" spans="1:7" outlineLevel="2" x14ac:dyDescent="0.35">
      <c r="A1092" s="8" t="s">
        <v>2451</v>
      </c>
      <c r="B1092" s="8" t="s">
        <v>2451</v>
      </c>
      <c r="C1092" s="8"/>
      <c r="D1092" s="8" t="s">
        <v>1468</v>
      </c>
      <c r="E1092" s="8" t="s">
        <v>2451</v>
      </c>
      <c r="F1092" s="8" t="s">
        <v>2451</v>
      </c>
      <c r="G1092" s="8" t="s">
        <v>2451</v>
      </c>
    </row>
    <row r="1093" spans="1:7" outlineLevel="1" x14ac:dyDescent="0.35">
      <c r="A1093" s="8" t="s">
        <v>149</v>
      </c>
      <c r="B1093" s="8" t="s">
        <v>350</v>
      </c>
      <c r="C1093" s="8">
        <v>4</v>
      </c>
      <c r="D1093" s="8" t="s">
        <v>2451</v>
      </c>
      <c r="E1093" s="8" t="s">
        <v>2451</v>
      </c>
      <c r="F1093" s="8" t="s">
        <v>2451</v>
      </c>
      <c r="G1093" s="8" t="s">
        <v>2451</v>
      </c>
    </row>
    <row r="1094" spans="1:7" outlineLevel="2" x14ac:dyDescent="0.35">
      <c r="A1094" s="8" t="s">
        <v>2451</v>
      </c>
      <c r="B1094" s="8" t="s">
        <v>2451</v>
      </c>
      <c r="C1094" s="8"/>
      <c r="D1094" s="8" t="s">
        <v>1461</v>
      </c>
      <c r="E1094" s="8" t="s">
        <v>2451</v>
      </c>
      <c r="F1094" s="8" t="s">
        <v>2451</v>
      </c>
      <c r="G1094" s="8" t="s">
        <v>2451</v>
      </c>
    </row>
    <row r="1095" spans="1:7" outlineLevel="2" x14ac:dyDescent="0.35">
      <c r="A1095" s="8" t="s">
        <v>2451</v>
      </c>
      <c r="B1095" s="8" t="s">
        <v>2451</v>
      </c>
      <c r="C1095" s="8"/>
      <c r="D1095" s="8" t="s">
        <v>1462</v>
      </c>
      <c r="E1095" s="8" t="s">
        <v>2451</v>
      </c>
      <c r="F1095" s="8" t="s">
        <v>2451</v>
      </c>
      <c r="G1095" s="8" t="s">
        <v>2451</v>
      </c>
    </row>
    <row r="1096" spans="1:7" outlineLevel="2" x14ac:dyDescent="0.35">
      <c r="A1096" s="8" t="s">
        <v>2451</v>
      </c>
      <c r="B1096" s="8" t="s">
        <v>2451</v>
      </c>
      <c r="C1096" s="8"/>
      <c r="D1096" s="8" t="s">
        <v>1463</v>
      </c>
      <c r="E1096" s="8" t="s">
        <v>2451</v>
      </c>
      <c r="F1096" s="8" t="s">
        <v>2451</v>
      </c>
      <c r="G1096" s="8" t="s">
        <v>2451</v>
      </c>
    </row>
    <row r="1097" spans="1:7" outlineLevel="2" x14ac:dyDescent="0.35">
      <c r="A1097" s="8" t="s">
        <v>2451</v>
      </c>
      <c r="B1097" s="8" t="s">
        <v>2451</v>
      </c>
      <c r="C1097" s="8"/>
      <c r="D1097" s="8" t="s">
        <v>1464</v>
      </c>
      <c r="E1097" s="8" t="s">
        <v>2451</v>
      </c>
      <c r="F1097" s="8" t="s">
        <v>2451</v>
      </c>
      <c r="G1097" s="8" t="s">
        <v>2451</v>
      </c>
    </row>
    <row r="1098" spans="1:7" outlineLevel="1" x14ac:dyDescent="0.35">
      <c r="A1098" s="8" t="s">
        <v>149</v>
      </c>
      <c r="B1098" s="8" t="s">
        <v>353</v>
      </c>
      <c r="C1098" s="8">
        <v>4</v>
      </c>
      <c r="D1098" s="8" t="s">
        <v>2451</v>
      </c>
      <c r="E1098" s="8" t="s">
        <v>2451</v>
      </c>
      <c r="F1098" s="8" t="s">
        <v>2451</v>
      </c>
      <c r="G1098" s="8" t="s">
        <v>2451</v>
      </c>
    </row>
    <row r="1099" spans="1:7" outlineLevel="2" x14ac:dyDescent="0.35">
      <c r="A1099" s="8" t="s">
        <v>2451</v>
      </c>
      <c r="B1099" s="8" t="s">
        <v>2451</v>
      </c>
      <c r="C1099" s="8"/>
      <c r="D1099" s="8" t="s">
        <v>1457</v>
      </c>
      <c r="E1099" s="8" t="s">
        <v>2451</v>
      </c>
      <c r="F1099" s="8" t="s">
        <v>2451</v>
      </c>
      <c r="G1099" s="8" t="s">
        <v>2451</v>
      </c>
    </row>
    <row r="1100" spans="1:7" outlineLevel="2" x14ac:dyDescent="0.35">
      <c r="A1100" s="8" t="s">
        <v>2451</v>
      </c>
      <c r="B1100" s="8" t="s">
        <v>2451</v>
      </c>
      <c r="C1100" s="8"/>
      <c r="D1100" s="8" t="s">
        <v>1458</v>
      </c>
      <c r="E1100" s="8" t="s">
        <v>2451</v>
      </c>
      <c r="F1100" s="8" t="s">
        <v>2451</v>
      </c>
      <c r="G1100" s="8" t="s">
        <v>2451</v>
      </c>
    </row>
    <row r="1101" spans="1:7" outlineLevel="2" x14ac:dyDescent="0.35">
      <c r="A1101" s="8" t="s">
        <v>2451</v>
      </c>
      <c r="B1101" s="8" t="s">
        <v>2451</v>
      </c>
      <c r="C1101" s="8"/>
      <c r="D1101" s="8" t="s">
        <v>1459</v>
      </c>
      <c r="E1101" s="8" t="s">
        <v>2451</v>
      </c>
      <c r="F1101" s="8" t="s">
        <v>2451</v>
      </c>
      <c r="G1101" s="8" t="s">
        <v>2451</v>
      </c>
    </row>
    <row r="1102" spans="1:7" outlineLevel="2" x14ac:dyDescent="0.35">
      <c r="A1102" s="8" t="s">
        <v>2451</v>
      </c>
      <c r="B1102" s="8" t="s">
        <v>2451</v>
      </c>
      <c r="C1102" s="8"/>
      <c r="D1102" s="8" t="s">
        <v>1460</v>
      </c>
      <c r="E1102" s="8" t="s">
        <v>2451</v>
      </c>
      <c r="F1102" s="8" t="s">
        <v>2451</v>
      </c>
      <c r="G1102" s="8" t="s">
        <v>2451</v>
      </c>
    </row>
    <row r="1103" spans="1:7" outlineLevel="1" x14ac:dyDescent="0.35">
      <c r="A1103" s="8" t="s">
        <v>149</v>
      </c>
      <c r="B1103" s="8" t="s">
        <v>357</v>
      </c>
      <c r="C1103" s="8">
        <v>2</v>
      </c>
      <c r="D1103" s="8" t="s">
        <v>2451</v>
      </c>
      <c r="E1103" s="8" t="s">
        <v>2451</v>
      </c>
      <c r="F1103" s="8" t="s">
        <v>2451</v>
      </c>
      <c r="G1103" s="8" t="s">
        <v>2451</v>
      </c>
    </row>
    <row r="1104" spans="1:7" outlineLevel="2" x14ac:dyDescent="0.35">
      <c r="A1104" s="8" t="s">
        <v>2451</v>
      </c>
      <c r="B1104" s="8" t="s">
        <v>2451</v>
      </c>
      <c r="C1104" s="8"/>
      <c r="D1104" s="8" t="s">
        <v>1455</v>
      </c>
      <c r="E1104" s="8" t="s">
        <v>2451</v>
      </c>
      <c r="F1104" s="8" t="s">
        <v>2451</v>
      </c>
      <c r="G1104" s="8" t="s">
        <v>2451</v>
      </c>
    </row>
    <row r="1105" spans="1:7" outlineLevel="2" x14ac:dyDescent="0.35">
      <c r="A1105" s="8" t="s">
        <v>2451</v>
      </c>
      <c r="B1105" s="8" t="s">
        <v>2451</v>
      </c>
      <c r="C1105" s="8"/>
      <c r="D1105" s="8" t="s">
        <v>1456</v>
      </c>
      <c r="E1105" s="8" t="s">
        <v>2451</v>
      </c>
      <c r="F1105" s="8" t="s">
        <v>2451</v>
      </c>
      <c r="G1105" s="8" t="s">
        <v>2451</v>
      </c>
    </row>
    <row r="1106" spans="1:7" outlineLevel="1" x14ac:dyDescent="0.35">
      <c r="A1106" s="8" t="s">
        <v>346</v>
      </c>
      <c r="B1106" s="8" t="s">
        <v>359</v>
      </c>
      <c r="C1106" s="8">
        <v>6</v>
      </c>
      <c r="D1106" s="8" t="s">
        <v>2451</v>
      </c>
      <c r="E1106" s="8" t="s">
        <v>2451</v>
      </c>
      <c r="F1106" s="8" t="s">
        <v>2451</v>
      </c>
      <c r="G1106" s="8" t="s">
        <v>2451</v>
      </c>
    </row>
    <row r="1107" spans="1:7" outlineLevel="2" x14ac:dyDescent="0.35">
      <c r="A1107" s="8" t="s">
        <v>2451</v>
      </c>
      <c r="B1107" s="8" t="s">
        <v>2451</v>
      </c>
      <c r="C1107" s="8"/>
      <c r="D1107" s="8" t="s">
        <v>1449</v>
      </c>
      <c r="E1107" s="8" t="s">
        <v>2451</v>
      </c>
      <c r="F1107" s="8" t="s">
        <v>2451</v>
      </c>
      <c r="G1107" s="8" t="s">
        <v>2451</v>
      </c>
    </row>
    <row r="1108" spans="1:7" outlineLevel="2" x14ac:dyDescent="0.35">
      <c r="A1108" s="8" t="s">
        <v>2451</v>
      </c>
      <c r="B1108" s="8" t="s">
        <v>2451</v>
      </c>
      <c r="C1108" s="8"/>
      <c r="D1108" s="8" t="s">
        <v>1450</v>
      </c>
      <c r="E1108" s="8" t="s">
        <v>2451</v>
      </c>
      <c r="F1108" s="8" t="s">
        <v>2451</v>
      </c>
      <c r="G1108" s="8" t="s">
        <v>2451</v>
      </c>
    </row>
    <row r="1109" spans="1:7" outlineLevel="2" x14ac:dyDescent="0.35">
      <c r="A1109" s="8" t="s">
        <v>2451</v>
      </c>
      <c r="B1109" s="8" t="s">
        <v>2451</v>
      </c>
      <c r="C1109" s="8"/>
      <c r="D1109" s="8" t="s">
        <v>1451</v>
      </c>
      <c r="E1109" s="8" t="s">
        <v>2451</v>
      </c>
      <c r="F1109" s="8" t="s">
        <v>2451</v>
      </c>
      <c r="G1109" s="8" t="s">
        <v>2451</v>
      </c>
    </row>
    <row r="1110" spans="1:7" outlineLevel="2" x14ac:dyDescent="0.35">
      <c r="A1110" s="8" t="s">
        <v>2451</v>
      </c>
      <c r="B1110" s="8" t="s">
        <v>2451</v>
      </c>
      <c r="C1110" s="8"/>
      <c r="D1110" s="8" t="s">
        <v>1452</v>
      </c>
      <c r="E1110" s="8" t="s">
        <v>2451</v>
      </c>
      <c r="F1110" s="8" t="s">
        <v>2451</v>
      </c>
      <c r="G1110" s="8" t="s">
        <v>2451</v>
      </c>
    </row>
    <row r="1111" spans="1:7" outlineLevel="2" x14ac:dyDescent="0.35">
      <c r="A1111" s="8" t="s">
        <v>2451</v>
      </c>
      <c r="B1111" s="8" t="s">
        <v>2451</v>
      </c>
      <c r="C1111" s="8"/>
      <c r="D1111" s="8" t="s">
        <v>1453</v>
      </c>
      <c r="E1111" s="8" t="s">
        <v>2451</v>
      </c>
      <c r="F1111" s="8" t="s">
        <v>2451</v>
      </c>
      <c r="G1111" s="8" t="s">
        <v>2451</v>
      </c>
    </row>
    <row r="1112" spans="1:7" outlineLevel="2" x14ac:dyDescent="0.35">
      <c r="A1112" s="8" t="s">
        <v>2451</v>
      </c>
      <c r="B1112" s="8" t="s">
        <v>2451</v>
      </c>
      <c r="C1112" s="8"/>
      <c r="D1112" s="8" t="s">
        <v>1454</v>
      </c>
      <c r="E1112" s="8" t="s">
        <v>2451</v>
      </c>
      <c r="F1112" s="8" t="s">
        <v>2451</v>
      </c>
      <c r="G1112" s="8" t="s">
        <v>2451</v>
      </c>
    </row>
    <row r="1113" spans="1:7" outlineLevel="1" x14ac:dyDescent="0.35">
      <c r="A1113" s="8" t="s">
        <v>149</v>
      </c>
      <c r="B1113" s="8" t="s">
        <v>362</v>
      </c>
      <c r="C1113" s="8">
        <v>1</v>
      </c>
      <c r="D1113" s="8" t="s">
        <v>2451</v>
      </c>
      <c r="E1113" s="8" t="s">
        <v>2451</v>
      </c>
      <c r="F1113" s="8" t="s">
        <v>2451</v>
      </c>
      <c r="G1113" s="8" t="s">
        <v>2451</v>
      </c>
    </row>
    <row r="1114" spans="1:7" outlineLevel="1" x14ac:dyDescent="0.35">
      <c r="A1114" s="8" t="s">
        <v>2451</v>
      </c>
      <c r="B1114" s="8" t="s">
        <v>2451</v>
      </c>
      <c r="C1114" s="8"/>
      <c r="D1114" s="8" t="s">
        <v>1448</v>
      </c>
      <c r="E1114" s="8" t="s">
        <v>2451</v>
      </c>
      <c r="F1114" s="8" t="s">
        <v>2451</v>
      </c>
      <c r="G1114" s="8" t="s">
        <v>2451</v>
      </c>
    </row>
    <row r="1115" spans="1:7" outlineLevel="1" x14ac:dyDescent="0.35"/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6924A-D0F4-44CF-84A6-C41432E57D86}">
  <sheetPr codeName="Sheet4">
    <pageSetUpPr fitToPage="1"/>
  </sheetPr>
  <dimension ref="A1:T94"/>
  <sheetViews>
    <sheetView zoomScale="70" zoomScaleNormal="70" workbookViewId="0">
      <selection activeCell="O10" sqref="O10:R17"/>
    </sheetView>
  </sheetViews>
  <sheetFormatPr defaultRowHeight="14.5" x14ac:dyDescent="0.35"/>
  <cols>
    <col min="1" max="1" width="8.26953125" customWidth="1"/>
    <col min="2" max="2" width="29.54296875" customWidth="1"/>
    <col min="3" max="3" width="5.1796875" bestFit="1" customWidth="1"/>
    <col min="4" max="4" width="5.81640625" bestFit="1" customWidth="1"/>
    <col min="5" max="5" width="7.81640625" bestFit="1" customWidth="1"/>
    <col min="6" max="6" width="16" bestFit="1" customWidth="1"/>
    <col min="7" max="7" width="1.7265625" style="7" customWidth="1"/>
    <col min="8" max="8" width="10" customWidth="1"/>
    <col min="9" max="9" width="25.54296875" customWidth="1"/>
    <col min="10" max="10" width="4.453125" style="6" bestFit="1" customWidth="1"/>
    <col min="11" max="11" width="5.81640625" bestFit="1" customWidth="1"/>
    <col min="12" max="12" width="7.81640625" bestFit="1" customWidth="1"/>
    <col min="13" max="13" width="15.54296875" bestFit="1" customWidth="1"/>
    <col min="14" max="14" width="0.81640625" style="7" customWidth="1"/>
    <col min="16" max="16" width="22.453125" customWidth="1"/>
    <col min="17" max="17" width="3" bestFit="1" customWidth="1"/>
    <col min="18" max="18" width="5.81640625" bestFit="1" customWidth="1"/>
    <col min="19" max="19" width="7.81640625" bestFit="1" customWidth="1"/>
    <col min="20" max="20" width="14.1796875" bestFit="1" customWidth="1"/>
  </cols>
  <sheetData>
    <row r="1" spans="1:20" ht="16.5" customHeight="1" x14ac:dyDescent="0.35">
      <c r="A1" s="53" t="s">
        <v>364</v>
      </c>
      <c r="B1" s="54"/>
      <c r="C1" s="54"/>
      <c r="D1" s="54"/>
      <c r="E1" s="54"/>
      <c r="F1" s="54"/>
      <c r="G1" s="11"/>
      <c r="H1" s="53" t="s">
        <v>365</v>
      </c>
      <c r="I1" s="54"/>
      <c r="J1" s="54"/>
      <c r="K1" s="54"/>
      <c r="L1" s="54"/>
      <c r="M1" s="54"/>
      <c r="N1" s="11"/>
      <c r="O1" s="53" t="s">
        <v>366</v>
      </c>
      <c r="P1" s="54"/>
      <c r="Q1" s="54"/>
      <c r="R1" s="54"/>
      <c r="S1" s="54"/>
      <c r="T1" s="54"/>
    </row>
    <row r="2" spans="1:20" ht="15.5" x14ac:dyDescent="0.35">
      <c r="A2" s="17" t="s">
        <v>37</v>
      </c>
      <c r="B2" s="18" t="str">
        <f>CONCATENATE(SUM(D16:D86)," Boards")</f>
        <v>367 Boards</v>
      </c>
      <c r="C2" s="19" t="s">
        <v>2</v>
      </c>
      <c r="D2" s="20" t="s">
        <v>3</v>
      </c>
      <c r="E2" s="19" t="s">
        <v>4</v>
      </c>
      <c r="F2" s="19" t="s">
        <v>38</v>
      </c>
      <c r="G2" s="11"/>
      <c r="H2" s="17" t="s">
        <v>37</v>
      </c>
      <c r="I2" s="18" t="str">
        <f>CONCATENATE(SUM(K4:K50)," Boards")</f>
        <v>110 Boards</v>
      </c>
      <c r="J2" s="19" t="s">
        <v>2</v>
      </c>
      <c r="K2" s="20" t="s">
        <v>3</v>
      </c>
      <c r="L2" s="19" t="s">
        <v>4</v>
      </c>
      <c r="M2" s="19" t="s">
        <v>38</v>
      </c>
      <c r="N2" s="11"/>
      <c r="O2" s="17" t="s">
        <v>37</v>
      </c>
      <c r="P2" s="18" t="str">
        <f>CONCATENATE(SUM(R3:R4)," Boards")</f>
        <v>7 Boards</v>
      </c>
      <c r="Q2" s="19" t="s">
        <v>2</v>
      </c>
      <c r="R2" s="20" t="s">
        <v>3</v>
      </c>
      <c r="S2" s="19" t="s">
        <v>4</v>
      </c>
      <c r="T2" s="19" t="s">
        <v>38</v>
      </c>
    </row>
    <row r="3" spans="1:20" x14ac:dyDescent="0.35">
      <c r="A3" s="8" t="s">
        <v>367</v>
      </c>
      <c r="B3" s="8" t="s">
        <v>24</v>
      </c>
      <c r="C3" s="22"/>
      <c r="D3" s="8">
        <v>5</v>
      </c>
      <c r="E3" s="23">
        <f>D3-VLOOKUP(B3,Roaming!C:E,3,FALSE)</f>
        <v>5</v>
      </c>
      <c r="F3" s="13"/>
      <c r="G3" s="11"/>
      <c r="H3" s="8" t="s">
        <v>156</v>
      </c>
      <c r="I3" s="33" t="s">
        <v>368</v>
      </c>
      <c r="J3" s="15">
        <v>0</v>
      </c>
      <c r="K3" s="8">
        <v>1</v>
      </c>
      <c r="L3" s="23">
        <f>K3-VLOOKUP(I3,Roaming!C:E,3,FALSE)</f>
        <v>1</v>
      </c>
      <c r="M3" s="13" t="s">
        <v>369</v>
      </c>
      <c r="N3" s="11"/>
      <c r="O3" s="8"/>
      <c r="P3" s="8" t="s">
        <v>370</v>
      </c>
      <c r="Q3" s="8"/>
      <c r="R3" s="8">
        <v>3</v>
      </c>
      <c r="S3" s="23" t="e">
        <f>R3-VLOOKUP(P3,Roaming!C:E,3,FALSE)</f>
        <v>#N/A</v>
      </c>
      <c r="T3" s="13" t="s">
        <v>371</v>
      </c>
    </row>
    <row r="4" spans="1:20" x14ac:dyDescent="0.35">
      <c r="A4" s="29" t="s">
        <v>66</v>
      </c>
      <c r="B4" s="29" t="s">
        <v>372</v>
      </c>
      <c r="C4" s="28">
        <v>18</v>
      </c>
      <c r="D4" s="29">
        <v>4</v>
      </c>
      <c r="E4" s="30">
        <f>D4-VLOOKUP(B4,Roaming!C:E,3,FALSE)</f>
        <v>4</v>
      </c>
      <c r="F4" s="13" t="s">
        <v>373</v>
      </c>
      <c r="G4" s="11"/>
      <c r="H4" s="8" t="s">
        <v>39</v>
      </c>
      <c r="I4" s="33" t="s">
        <v>368</v>
      </c>
      <c r="J4" s="15">
        <v>0</v>
      </c>
      <c r="K4" s="8">
        <v>1</v>
      </c>
      <c r="L4" s="23">
        <f>K4-VLOOKUP(I4,Roaming!C:E,3,FALSE)</f>
        <v>1</v>
      </c>
      <c r="M4" s="13" t="s">
        <v>374</v>
      </c>
      <c r="N4" s="11"/>
      <c r="O4" s="8"/>
      <c r="P4" s="8" t="s">
        <v>375</v>
      </c>
      <c r="Q4" s="8"/>
      <c r="R4" s="8">
        <v>4</v>
      </c>
      <c r="S4" s="23" t="e">
        <f>R4-VLOOKUP(P4,Roaming!C:E,3,FALSE)</f>
        <v>#N/A</v>
      </c>
      <c r="T4" s="13"/>
    </row>
    <row r="5" spans="1:20" ht="15.75" customHeight="1" x14ac:dyDescent="0.35">
      <c r="A5" s="8" t="s">
        <v>66</v>
      </c>
      <c r="B5" s="8" t="s">
        <v>376</v>
      </c>
      <c r="C5" s="15">
        <v>59</v>
      </c>
      <c r="D5" s="8">
        <v>5</v>
      </c>
      <c r="E5" s="23">
        <f>D5-VLOOKUP(B5,Roaming!C:E,3,FALSE)</f>
        <v>5</v>
      </c>
      <c r="F5" s="13" t="s">
        <v>228</v>
      </c>
      <c r="G5" s="11"/>
      <c r="H5" s="8" t="s">
        <v>39</v>
      </c>
      <c r="I5" s="8" t="s">
        <v>377</v>
      </c>
      <c r="J5" s="15">
        <v>199</v>
      </c>
      <c r="K5" s="8">
        <v>1</v>
      </c>
      <c r="L5" s="23">
        <f>K5-VLOOKUP(I5,Roaming!C:E,3,FALSE)</f>
        <v>1</v>
      </c>
      <c r="M5" s="13" t="s">
        <v>378</v>
      </c>
      <c r="N5" s="11"/>
      <c r="O5" s="8"/>
      <c r="P5" s="8" t="s">
        <v>379</v>
      </c>
      <c r="Q5" s="8"/>
      <c r="R5" s="8">
        <v>2</v>
      </c>
      <c r="S5" s="23" t="e">
        <f>R5-VLOOKUP(P5,Roaming!C:E,3,FALSE)</f>
        <v>#N/A</v>
      </c>
      <c r="T5" s="13" t="s">
        <v>380</v>
      </c>
    </row>
    <row r="6" spans="1:20" x14ac:dyDescent="0.35">
      <c r="A6" s="8" t="s">
        <v>72</v>
      </c>
      <c r="B6" s="8" t="s">
        <v>381</v>
      </c>
      <c r="C6" s="15">
        <v>46.5</v>
      </c>
      <c r="D6" s="8">
        <v>10</v>
      </c>
      <c r="E6" s="23">
        <f>D6-VLOOKUP(B6,Roaming!C:E,3,FALSE)</f>
        <v>10</v>
      </c>
      <c r="F6" s="13" t="s">
        <v>382</v>
      </c>
      <c r="G6" s="11"/>
      <c r="H6" s="8" t="s">
        <v>39</v>
      </c>
      <c r="I6" s="8" t="s">
        <v>383</v>
      </c>
      <c r="J6" s="15">
        <v>199</v>
      </c>
      <c r="K6" s="8">
        <v>1</v>
      </c>
      <c r="L6" s="23">
        <f>K6-VLOOKUP(I6,Roaming!C:E,3,FALSE)</f>
        <v>1</v>
      </c>
      <c r="M6" s="13" t="s">
        <v>384</v>
      </c>
      <c r="N6" s="11"/>
      <c r="O6" s="8"/>
      <c r="P6" s="8" t="s">
        <v>385</v>
      </c>
      <c r="Q6" s="8"/>
      <c r="R6" s="8">
        <v>4</v>
      </c>
      <c r="S6" s="23" t="e">
        <f>R6-VLOOKUP(P6,Roaming!C:E,3,FALSE)</f>
        <v>#N/A</v>
      </c>
      <c r="T6" s="13" t="s">
        <v>386</v>
      </c>
    </row>
    <row r="7" spans="1:20" x14ac:dyDescent="0.35">
      <c r="A7" s="8" t="s">
        <v>83</v>
      </c>
      <c r="B7" s="8" t="s">
        <v>387</v>
      </c>
      <c r="C7" s="28">
        <v>74</v>
      </c>
      <c r="D7" s="29">
        <v>6</v>
      </c>
      <c r="E7" s="23">
        <f>D7-VLOOKUP(B7,Roaming!C:E,3,FALSE)</f>
        <v>6</v>
      </c>
      <c r="F7" s="13" t="s">
        <v>388</v>
      </c>
      <c r="G7" s="11"/>
      <c r="H7" s="8" t="s">
        <v>156</v>
      </c>
      <c r="I7" s="33" t="s">
        <v>389</v>
      </c>
      <c r="J7" s="15">
        <v>289</v>
      </c>
      <c r="K7" s="8">
        <v>3</v>
      </c>
      <c r="L7" s="23">
        <f>K7-VLOOKUP(I7,Roaming!C:E,3,FALSE)</f>
        <v>3</v>
      </c>
      <c r="M7" s="13" t="s">
        <v>390</v>
      </c>
      <c r="N7" s="11"/>
      <c r="O7" s="8"/>
      <c r="P7" s="8" t="s">
        <v>391</v>
      </c>
      <c r="Q7" s="8"/>
      <c r="R7" s="8">
        <v>2</v>
      </c>
      <c r="S7" s="23" t="e">
        <f>R7-VLOOKUP(P7,Roaming!C:E,3,FALSE)</f>
        <v>#N/A</v>
      </c>
      <c r="T7" s="13" t="s">
        <v>392</v>
      </c>
    </row>
    <row r="8" spans="1:20" x14ac:dyDescent="0.35">
      <c r="A8" s="8" t="s">
        <v>83</v>
      </c>
      <c r="B8" s="8" t="s">
        <v>393</v>
      </c>
      <c r="C8" s="15">
        <v>53</v>
      </c>
      <c r="D8" s="8">
        <v>14</v>
      </c>
      <c r="E8" s="23">
        <f>D8-VLOOKUP(B8,Roaming!C:E,3,FALSE)</f>
        <v>14</v>
      </c>
      <c r="F8" s="13" t="s">
        <v>394</v>
      </c>
      <c r="G8" s="11"/>
      <c r="H8" s="8" t="s">
        <v>156</v>
      </c>
      <c r="I8" s="8" t="s">
        <v>395</v>
      </c>
      <c r="J8" s="15">
        <v>249</v>
      </c>
      <c r="K8" s="8">
        <v>3</v>
      </c>
      <c r="L8" s="23">
        <f>K8-VLOOKUP(I8,Roaming!C:E,3,FALSE)</f>
        <v>3</v>
      </c>
      <c r="M8" s="13" t="s">
        <v>396</v>
      </c>
      <c r="N8" s="11"/>
      <c r="O8" s="8"/>
      <c r="P8" s="8" t="s">
        <v>397</v>
      </c>
      <c r="Q8" s="8"/>
      <c r="R8" s="8">
        <v>1</v>
      </c>
      <c r="S8" s="23" t="e">
        <f>R8-VLOOKUP(P8,Roaming!C:E,3,FALSE)</f>
        <v>#N/A</v>
      </c>
      <c r="T8" s="13"/>
    </row>
    <row r="9" spans="1:20" x14ac:dyDescent="0.35">
      <c r="A9" s="8" t="s">
        <v>83</v>
      </c>
      <c r="B9" s="8" t="s">
        <v>398</v>
      </c>
      <c r="C9" s="28">
        <v>53</v>
      </c>
      <c r="D9" s="8">
        <v>4</v>
      </c>
      <c r="E9" s="23">
        <f>D9-VLOOKUP(B9,Roaming!C:E,3,FALSE)</f>
        <v>4</v>
      </c>
      <c r="F9" s="13" t="s">
        <v>394</v>
      </c>
      <c r="G9" s="11"/>
      <c r="H9" s="8" t="s">
        <v>42</v>
      </c>
      <c r="I9" s="8" t="s">
        <v>399</v>
      </c>
      <c r="J9" s="15">
        <v>349</v>
      </c>
      <c r="K9" s="8">
        <v>1</v>
      </c>
      <c r="L9" s="23">
        <f>K9-VLOOKUP(I9,Roaming!C:E,3,FALSE)</f>
        <v>1</v>
      </c>
      <c r="M9" s="13" t="s">
        <v>400</v>
      </c>
      <c r="N9" s="11"/>
    </row>
    <row r="10" spans="1:20" ht="15.5" x14ac:dyDescent="0.35">
      <c r="A10" s="8" t="s">
        <v>83</v>
      </c>
      <c r="B10" s="8" t="s">
        <v>401</v>
      </c>
      <c r="C10" s="22"/>
      <c r="D10" s="8">
        <v>9</v>
      </c>
      <c r="E10" s="23">
        <f>D10-VLOOKUP(B10,Roaming!C:E,3,FALSE)</f>
        <v>9</v>
      </c>
      <c r="F10" s="13" t="s">
        <v>402</v>
      </c>
      <c r="G10" s="11"/>
      <c r="H10" s="8" t="s">
        <v>42</v>
      </c>
      <c r="I10" s="33" t="s">
        <v>403</v>
      </c>
      <c r="J10" s="15">
        <v>349</v>
      </c>
      <c r="K10" s="8">
        <v>1</v>
      </c>
      <c r="L10" s="23">
        <f>K10-VLOOKUP(I10,Roaming!C:E,3,FALSE)</f>
        <v>1</v>
      </c>
      <c r="M10" s="13" t="s">
        <v>404</v>
      </c>
      <c r="N10" s="11"/>
      <c r="O10" s="53" t="s">
        <v>405</v>
      </c>
      <c r="P10" s="54"/>
      <c r="Q10" s="54"/>
      <c r="R10" s="55"/>
    </row>
    <row r="11" spans="1:20" ht="15.5" x14ac:dyDescent="0.35">
      <c r="A11" s="8" t="s">
        <v>229</v>
      </c>
      <c r="B11" s="8" t="s">
        <v>406</v>
      </c>
      <c r="C11" s="15">
        <v>87.22</v>
      </c>
      <c r="D11" s="8">
        <v>15</v>
      </c>
      <c r="E11" s="23">
        <f>D11-VLOOKUP(B11,Roaming!C:E,3,FALSE)</f>
        <v>10</v>
      </c>
      <c r="F11" s="13" t="s">
        <v>407</v>
      </c>
      <c r="G11" s="11"/>
      <c r="H11" s="8" t="s">
        <v>49</v>
      </c>
      <c r="I11" s="33" t="s">
        <v>408</v>
      </c>
      <c r="J11" s="15">
        <v>249</v>
      </c>
      <c r="K11" s="8">
        <v>1</v>
      </c>
      <c r="L11" s="23">
        <f>K11-VLOOKUP(I11,Roaming!C:E,3,FALSE)</f>
        <v>1</v>
      </c>
      <c r="M11" s="13" t="s">
        <v>409</v>
      </c>
      <c r="N11" s="11"/>
      <c r="O11" s="17" t="s">
        <v>37</v>
      </c>
      <c r="P11" s="18" t="str">
        <f>CONCATENATE(SUM(R12:R16)," parts")</f>
        <v>16 parts</v>
      </c>
      <c r="Q11" s="19" t="s">
        <v>2</v>
      </c>
      <c r="R11" s="20" t="s">
        <v>3</v>
      </c>
    </row>
    <row r="12" spans="1:20" ht="15.75" customHeight="1" x14ac:dyDescent="0.35">
      <c r="A12" s="8" t="s">
        <v>229</v>
      </c>
      <c r="B12" s="8" t="s">
        <v>410</v>
      </c>
      <c r="C12" s="15">
        <v>87.22</v>
      </c>
      <c r="D12" s="8">
        <v>1</v>
      </c>
      <c r="E12" s="23">
        <f>D12-VLOOKUP(B12,Roaming!C:E,3,FALSE)</f>
        <v>1</v>
      </c>
      <c r="F12" s="13" t="s">
        <v>407</v>
      </c>
      <c r="G12" s="11"/>
      <c r="H12" s="8" t="s">
        <v>49</v>
      </c>
      <c r="I12" s="8" t="s">
        <v>411</v>
      </c>
      <c r="J12" s="15">
        <v>249</v>
      </c>
      <c r="K12" s="8">
        <v>1</v>
      </c>
      <c r="L12" s="23">
        <f>K12-VLOOKUP(I12,Roaming!C:E,3,FALSE)</f>
        <v>1</v>
      </c>
      <c r="M12" s="13" t="s">
        <v>412</v>
      </c>
      <c r="N12" s="11"/>
      <c r="O12" s="8" t="s">
        <v>59</v>
      </c>
      <c r="P12" s="8" t="s">
        <v>413</v>
      </c>
      <c r="Q12" s="8"/>
      <c r="R12" s="8">
        <v>2</v>
      </c>
    </row>
    <row r="13" spans="1:20" ht="16.5" customHeight="1" x14ac:dyDescent="0.35">
      <c r="A13" s="8" t="s">
        <v>296</v>
      </c>
      <c r="B13" s="8" t="s">
        <v>414</v>
      </c>
      <c r="C13" s="15">
        <v>32</v>
      </c>
      <c r="D13" s="8">
        <v>6</v>
      </c>
      <c r="E13" s="23">
        <f>D13-VLOOKUP(B13,Roaming!C:E,3,FALSE)</f>
        <v>6</v>
      </c>
      <c r="F13" s="13" t="s">
        <v>415</v>
      </c>
      <c r="G13" s="11"/>
      <c r="H13" s="8" t="s">
        <v>49</v>
      </c>
      <c r="I13" s="8" t="s">
        <v>416</v>
      </c>
      <c r="J13" s="15">
        <v>249</v>
      </c>
      <c r="K13" s="8">
        <v>2</v>
      </c>
      <c r="L13" s="23">
        <f>K13-VLOOKUP(I13,Roaming!C:E,3,FALSE)</f>
        <v>2</v>
      </c>
      <c r="M13" s="13" t="s">
        <v>417</v>
      </c>
      <c r="N13" s="11"/>
      <c r="O13" s="8" t="s">
        <v>59</v>
      </c>
      <c r="P13" s="8" t="s">
        <v>418</v>
      </c>
      <c r="Q13" s="8"/>
      <c r="R13" s="8">
        <v>2</v>
      </c>
    </row>
    <row r="14" spans="1:20" x14ac:dyDescent="0.35">
      <c r="A14" s="8" t="s">
        <v>296</v>
      </c>
      <c r="B14" s="8" t="s">
        <v>419</v>
      </c>
      <c r="C14" s="22"/>
      <c r="D14" s="8">
        <v>4</v>
      </c>
      <c r="E14" s="23">
        <f>D14-VLOOKUP(B14,Roaming!C:E,3,FALSE)</f>
        <v>4</v>
      </c>
      <c r="F14" s="13" t="s">
        <v>420</v>
      </c>
      <c r="G14" s="11"/>
      <c r="H14" s="8" t="s">
        <v>55</v>
      </c>
      <c r="I14" s="8" t="s">
        <v>421</v>
      </c>
      <c r="J14" s="15">
        <v>349</v>
      </c>
      <c r="K14" s="8">
        <v>1</v>
      </c>
      <c r="L14" s="23">
        <f>K14-VLOOKUP(I14,Roaming!C:E,3,FALSE)</f>
        <v>1</v>
      </c>
      <c r="M14" s="13" t="s">
        <v>422</v>
      </c>
      <c r="N14" s="11"/>
      <c r="O14" s="8" t="s">
        <v>303</v>
      </c>
      <c r="P14" s="8" t="s">
        <v>423</v>
      </c>
      <c r="Q14" s="8"/>
      <c r="R14" s="8">
        <v>4</v>
      </c>
    </row>
    <row r="15" spans="1:20" x14ac:dyDescent="0.35">
      <c r="A15" s="8" t="s">
        <v>354</v>
      </c>
      <c r="B15" s="8" t="s">
        <v>424</v>
      </c>
      <c r="C15" s="15">
        <v>52.5</v>
      </c>
      <c r="D15" s="8">
        <v>4</v>
      </c>
      <c r="E15" s="23">
        <f>D15-VLOOKUP(B15,Roaming!C:E,3,FALSE)</f>
        <v>4</v>
      </c>
      <c r="F15" s="13" t="s">
        <v>425</v>
      </c>
      <c r="G15" s="11"/>
      <c r="H15" s="8" t="s">
        <v>55</v>
      </c>
      <c r="I15" s="33" t="s">
        <v>426</v>
      </c>
      <c r="J15" s="15">
        <v>349</v>
      </c>
      <c r="K15" s="8">
        <v>1</v>
      </c>
      <c r="L15" s="23">
        <f>K15-VLOOKUP(I15,Roaming!C:E,3,FALSE)</f>
        <v>1</v>
      </c>
      <c r="M15" s="13" t="s">
        <v>427</v>
      </c>
      <c r="N15" s="11"/>
      <c r="O15" s="8" t="s">
        <v>303</v>
      </c>
      <c r="P15" s="8" t="s">
        <v>308</v>
      </c>
      <c r="Q15" s="8"/>
      <c r="R15" s="8">
        <v>4</v>
      </c>
    </row>
    <row r="16" spans="1:20" x14ac:dyDescent="0.35">
      <c r="A16" s="29" t="s">
        <v>107</v>
      </c>
      <c r="B16" s="29" t="s">
        <v>428</v>
      </c>
      <c r="C16" s="15">
        <v>11</v>
      </c>
      <c r="D16" s="29">
        <v>10</v>
      </c>
      <c r="E16" s="30">
        <f>D16-VLOOKUP(B16,Roaming!C:E,3,FALSE)</f>
        <v>10</v>
      </c>
      <c r="F16" s="13" t="s">
        <v>429</v>
      </c>
      <c r="G16" s="11"/>
      <c r="H16" s="8" t="s">
        <v>55</v>
      </c>
      <c r="I16" s="8" t="s">
        <v>430</v>
      </c>
      <c r="J16" s="15">
        <v>389</v>
      </c>
      <c r="K16" s="8">
        <v>3</v>
      </c>
      <c r="L16" s="23">
        <f>K16-VLOOKUP(I16,Roaming!C:E,3,FALSE)</f>
        <v>3</v>
      </c>
      <c r="M16" s="13" t="s">
        <v>431</v>
      </c>
      <c r="N16" s="11"/>
      <c r="O16" s="8" t="s">
        <v>354</v>
      </c>
      <c r="P16" s="8" t="s">
        <v>432</v>
      </c>
      <c r="Q16" s="8"/>
      <c r="R16" s="8">
        <v>4</v>
      </c>
    </row>
    <row r="17" spans="1:18" x14ac:dyDescent="0.35">
      <c r="A17" s="29" t="s">
        <v>107</v>
      </c>
      <c r="B17" s="29" t="s">
        <v>433</v>
      </c>
      <c r="C17" s="15">
        <v>17</v>
      </c>
      <c r="D17" s="29">
        <v>10</v>
      </c>
      <c r="E17" s="30">
        <f>D17-VLOOKUP(B17,Roaming!C:E,3,FALSE)</f>
        <v>10</v>
      </c>
      <c r="F17" s="13" t="s">
        <v>434</v>
      </c>
      <c r="G17" s="11"/>
      <c r="H17" s="8" t="s">
        <v>55</v>
      </c>
      <c r="I17" s="8" t="s">
        <v>435</v>
      </c>
      <c r="J17" s="15">
        <v>389</v>
      </c>
      <c r="K17" s="8">
        <v>1</v>
      </c>
      <c r="L17" s="23">
        <f>K17-VLOOKUP(I17,Roaming!C:E,3,FALSE)</f>
        <v>1</v>
      </c>
      <c r="M17" s="13" t="s">
        <v>431</v>
      </c>
      <c r="N17" s="11"/>
      <c r="O17" s="8" t="s">
        <v>216</v>
      </c>
      <c r="P17" s="8" t="s">
        <v>436</v>
      </c>
      <c r="Q17" s="8"/>
      <c r="R17" s="8">
        <v>10</v>
      </c>
    </row>
    <row r="18" spans="1:18" ht="15.75" customHeight="1" x14ac:dyDescent="0.35">
      <c r="A18" s="8" t="s">
        <v>39</v>
      </c>
      <c r="B18" s="33" t="s">
        <v>437</v>
      </c>
      <c r="C18" s="15">
        <v>8.9</v>
      </c>
      <c r="D18" s="8">
        <v>3</v>
      </c>
      <c r="E18" s="23">
        <f>D18-VLOOKUP(B18,Roaming!C:E,3,FALSE)</f>
        <v>3</v>
      </c>
      <c r="F18" s="13" t="s">
        <v>136</v>
      </c>
      <c r="G18" s="11"/>
      <c r="H18" s="8" t="s">
        <v>55</v>
      </c>
      <c r="I18" s="33" t="s">
        <v>438</v>
      </c>
      <c r="J18" s="15">
        <v>525</v>
      </c>
      <c r="K18" s="8">
        <v>4</v>
      </c>
      <c r="L18" s="23">
        <f>K18-VLOOKUP(I18,Roaming!C:E,3,FALSE)</f>
        <v>4</v>
      </c>
      <c r="M18" s="13" t="s">
        <v>439</v>
      </c>
      <c r="N18" s="11"/>
    </row>
    <row r="19" spans="1:18" ht="16.5" customHeight="1" x14ac:dyDescent="0.35">
      <c r="A19" s="8" t="s">
        <v>39</v>
      </c>
      <c r="B19" s="8" t="s">
        <v>440</v>
      </c>
      <c r="C19" s="15">
        <v>10.4</v>
      </c>
      <c r="D19" s="8">
        <v>5</v>
      </c>
      <c r="E19" s="23">
        <f>D19-VLOOKUP(B19,Roaming!C:E,3,FALSE)</f>
        <v>5</v>
      </c>
      <c r="F19" s="13" t="s">
        <v>146</v>
      </c>
      <c r="G19" s="11"/>
      <c r="H19" s="8" t="s">
        <v>55</v>
      </c>
      <c r="I19" s="33" t="s">
        <v>441</v>
      </c>
      <c r="J19" s="15">
        <v>330</v>
      </c>
      <c r="K19" s="8">
        <v>1</v>
      </c>
      <c r="L19" s="23">
        <f>K19-VLOOKUP(I19,Roaming!C:E,3,FALSE)</f>
        <v>1</v>
      </c>
      <c r="M19" s="13" t="s">
        <v>442</v>
      </c>
      <c r="N19" s="11"/>
    </row>
    <row r="20" spans="1:18" x14ac:dyDescent="0.35">
      <c r="A20" s="8" t="s">
        <v>156</v>
      </c>
      <c r="B20" s="8" t="s">
        <v>443</v>
      </c>
      <c r="C20" s="15">
        <v>9.9</v>
      </c>
      <c r="D20" s="8">
        <v>1</v>
      </c>
      <c r="E20" s="23">
        <f>D20-VLOOKUP(B20,Roaming!C:E,3,FALSE)</f>
        <v>1</v>
      </c>
      <c r="F20" s="13" t="s">
        <v>444</v>
      </c>
      <c r="G20" s="11"/>
      <c r="H20" s="8" t="s">
        <v>55</v>
      </c>
      <c r="I20" s="33" t="s">
        <v>445</v>
      </c>
      <c r="J20" s="15">
        <v>399</v>
      </c>
      <c r="K20" s="8">
        <v>4</v>
      </c>
      <c r="L20" s="23">
        <f>K20-VLOOKUP(I20,Roaming!C:E,3,FALSE)</f>
        <v>4</v>
      </c>
      <c r="M20" s="13" t="s">
        <v>446</v>
      </c>
      <c r="N20" s="11"/>
    </row>
    <row r="21" spans="1:18" x14ac:dyDescent="0.35">
      <c r="A21" s="8" t="s">
        <v>49</v>
      </c>
      <c r="B21" s="8" t="s">
        <v>447</v>
      </c>
      <c r="C21" s="15">
        <v>17</v>
      </c>
      <c r="D21" s="8">
        <v>1</v>
      </c>
      <c r="E21" s="23">
        <f>D21-VLOOKUP(B21,Roaming!C:E,3,FALSE)</f>
        <v>1</v>
      </c>
      <c r="F21" s="13" t="s">
        <v>448</v>
      </c>
      <c r="G21" s="11"/>
      <c r="H21" s="8" t="s">
        <v>55</v>
      </c>
      <c r="I21" s="33" t="s">
        <v>449</v>
      </c>
      <c r="J21" s="15">
        <v>399</v>
      </c>
      <c r="K21" s="8">
        <v>3</v>
      </c>
      <c r="L21" s="23">
        <f>K21-VLOOKUP(I21,Roaming!C:E,3,FALSE)</f>
        <v>3</v>
      </c>
      <c r="M21" s="13" t="s">
        <v>450</v>
      </c>
      <c r="N21" s="11"/>
    </row>
    <row r="22" spans="1:18" x14ac:dyDescent="0.35">
      <c r="A22" s="8" t="s">
        <v>49</v>
      </c>
      <c r="B22" s="8" t="s">
        <v>451</v>
      </c>
      <c r="C22" s="15">
        <v>15.75</v>
      </c>
      <c r="D22" s="8">
        <v>6</v>
      </c>
      <c r="E22" s="23">
        <f>D22-VLOOKUP(B22,Roaming!C:E,3,FALSE)</f>
        <v>6</v>
      </c>
      <c r="F22" s="13" t="s">
        <v>452</v>
      </c>
      <c r="G22" s="11"/>
      <c r="H22" s="8" t="s">
        <v>86</v>
      </c>
      <c r="I22" s="33" t="s">
        <v>453</v>
      </c>
      <c r="J22" s="15">
        <v>560</v>
      </c>
      <c r="K22" s="8">
        <v>5</v>
      </c>
      <c r="L22" s="23">
        <f>K22-VLOOKUP(I22,Roaming!C:E,3,FALSE)</f>
        <v>5</v>
      </c>
      <c r="M22" s="13" t="s">
        <v>454</v>
      </c>
      <c r="N22" s="11"/>
    </row>
    <row r="23" spans="1:18" x14ac:dyDescent="0.35">
      <c r="A23" s="8" t="s">
        <v>55</v>
      </c>
      <c r="B23" s="33" t="s">
        <v>455</v>
      </c>
      <c r="C23" s="15">
        <v>0</v>
      </c>
      <c r="D23" s="8">
        <v>2</v>
      </c>
      <c r="E23" s="23">
        <f>D23-VLOOKUP(B23,Roaming!C:E,3,FALSE)</f>
        <v>2</v>
      </c>
      <c r="F23" s="13" t="s">
        <v>456</v>
      </c>
      <c r="G23" s="11"/>
      <c r="H23" s="8" t="s">
        <v>86</v>
      </c>
      <c r="I23" s="33" t="s">
        <v>457</v>
      </c>
      <c r="J23" s="15">
        <v>560</v>
      </c>
      <c r="K23" s="8">
        <v>2</v>
      </c>
      <c r="L23" s="23">
        <f>K23-VLOOKUP(I23,Roaming!C:E,3,FALSE)</f>
        <v>2</v>
      </c>
      <c r="M23" s="13" t="s">
        <v>458</v>
      </c>
      <c r="N23" s="11"/>
    </row>
    <row r="24" spans="1:18" x14ac:dyDescent="0.35">
      <c r="A24" s="8" t="s">
        <v>55</v>
      </c>
      <c r="B24" s="33" t="s">
        <v>459</v>
      </c>
      <c r="C24" s="15">
        <v>0</v>
      </c>
      <c r="D24" s="8">
        <v>1</v>
      </c>
      <c r="E24" s="23">
        <f>D24-VLOOKUP(B24,Roaming!C:E,3,FALSE)</f>
        <v>1</v>
      </c>
      <c r="F24" s="13" t="s">
        <v>460</v>
      </c>
      <c r="G24" s="11"/>
      <c r="H24" s="8" t="s">
        <v>86</v>
      </c>
      <c r="I24" s="8" t="s">
        <v>461</v>
      </c>
      <c r="J24" s="15">
        <v>360</v>
      </c>
      <c r="K24" s="8">
        <v>3</v>
      </c>
      <c r="L24" s="23">
        <f>K24-VLOOKUP(I24,Roaming!C:E,3,FALSE)</f>
        <v>3</v>
      </c>
      <c r="M24" s="13" t="s">
        <v>462</v>
      </c>
      <c r="N24" s="11"/>
    </row>
    <row r="25" spans="1:18" x14ac:dyDescent="0.35">
      <c r="A25" s="8" t="s">
        <v>55</v>
      </c>
      <c r="B25" s="8" t="s">
        <v>463</v>
      </c>
      <c r="C25" s="15">
        <v>19.89</v>
      </c>
      <c r="D25" s="8">
        <v>9</v>
      </c>
      <c r="E25" s="23">
        <f>D25-VLOOKUP(B25,Roaming!C:E,3,FALSE)</f>
        <v>9</v>
      </c>
      <c r="F25" s="13" t="s">
        <v>464</v>
      </c>
      <c r="G25" s="11"/>
      <c r="H25" s="8" t="s">
        <v>86</v>
      </c>
      <c r="I25" s="33" t="s">
        <v>465</v>
      </c>
      <c r="J25" s="15">
        <v>360</v>
      </c>
      <c r="K25" s="8">
        <v>1</v>
      </c>
      <c r="L25" s="23">
        <f>K25-VLOOKUP(I25,Roaming!C:E,3,FALSE)</f>
        <v>1</v>
      </c>
      <c r="M25" s="13" t="s">
        <v>466</v>
      </c>
      <c r="N25" s="11"/>
    </row>
    <row r="26" spans="1:18" x14ac:dyDescent="0.35">
      <c r="A26" s="8" t="s">
        <v>55</v>
      </c>
      <c r="B26" s="8" t="s">
        <v>467</v>
      </c>
      <c r="C26" s="15">
        <v>15</v>
      </c>
      <c r="D26" s="8">
        <v>4</v>
      </c>
      <c r="E26" s="23">
        <f>D26-VLOOKUP(B26,Roaming!C:E,3,FALSE)</f>
        <v>4</v>
      </c>
      <c r="F26" s="13" t="s">
        <v>468</v>
      </c>
      <c r="G26" s="11"/>
      <c r="H26" s="8" t="s">
        <v>59</v>
      </c>
      <c r="I26" s="8" t="s">
        <v>469</v>
      </c>
      <c r="J26" s="15">
        <v>382</v>
      </c>
      <c r="K26" s="8">
        <v>5</v>
      </c>
      <c r="L26" s="23">
        <f>K26-VLOOKUP(I26,Roaming!C:E,3,FALSE)</f>
        <v>5</v>
      </c>
      <c r="M26" s="13" t="s">
        <v>470</v>
      </c>
      <c r="N26" s="11"/>
    </row>
    <row r="27" spans="1:18" x14ac:dyDescent="0.35">
      <c r="A27" s="8" t="s">
        <v>55</v>
      </c>
      <c r="B27" s="8" t="s">
        <v>471</v>
      </c>
      <c r="C27" s="15">
        <v>35</v>
      </c>
      <c r="D27" s="8">
        <v>8</v>
      </c>
      <c r="E27" s="23">
        <f>D27-VLOOKUP(B27,Roaming!C:E,3,FALSE)</f>
        <v>8</v>
      </c>
      <c r="F27" s="13" t="s">
        <v>57</v>
      </c>
      <c r="G27" s="11"/>
      <c r="H27" s="8" t="s">
        <v>59</v>
      </c>
      <c r="I27" s="8" t="s">
        <v>472</v>
      </c>
      <c r="J27" s="15">
        <v>292</v>
      </c>
      <c r="K27" s="8">
        <v>2</v>
      </c>
      <c r="L27" s="23">
        <f>K27-VLOOKUP(I27,Roaming!C:E,3,FALSE)</f>
        <v>2</v>
      </c>
      <c r="M27" s="13" t="s">
        <v>473</v>
      </c>
      <c r="N27" s="11"/>
    </row>
    <row r="28" spans="1:18" x14ac:dyDescent="0.35">
      <c r="A28" s="8" t="s">
        <v>55</v>
      </c>
      <c r="B28" s="8" t="s">
        <v>474</v>
      </c>
      <c r="C28" s="15">
        <v>70</v>
      </c>
      <c r="D28" s="8">
        <v>7</v>
      </c>
      <c r="E28" s="23">
        <f>D28-VLOOKUP(B28,Roaming!C:E,3,FALSE)</f>
        <v>7</v>
      </c>
      <c r="F28" s="13" t="s">
        <v>63</v>
      </c>
      <c r="G28" s="11"/>
      <c r="H28" s="8" t="s">
        <v>66</v>
      </c>
      <c r="I28" s="8" t="s">
        <v>475</v>
      </c>
      <c r="J28" s="15">
        <v>333</v>
      </c>
      <c r="K28" s="8">
        <v>1</v>
      </c>
      <c r="L28" s="23">
        <f>K28-VLOOKUP(I28,Roaming!C:E,3,FALSE)</f>
        <v>1</v>
      </c>
      <c r="M28" s="13" t="s">
        <v>476</v>
      </c>
      <c r="N28" s="11"/>
    </row>
    <row r="29" spans="1:18" x14ac:dyDescent="0.35">
      <c r="A29" s="8" t="s">
        <v>55</v>
      </c>
      <c r="B29" s="8" t="s">
        <v>477</v>
      </c>
      <c r="C29" s="15">
        <v>29.9</v>
      </c>
      <c r="D29" s="8">
        <v>3</v>
      </c>
      <c r="E29" s="23">
        <f>D29-VLOOKUP(B29,Roaming!C:E,3,FALSE)</f>
        <v>3</v>
      </c>
      <c r="F29" s="13" t="s">
        <v>70</v>
      </c>
      <c r="G29" s="11"/>
      <c r="H29" s="8" t="s">
        <v>66</v>
      </c>
      <c r="I29" s="33" t="s">
        <v>478</v>
      </c>
      <c r="J29" s="15">
        <v>0</v>
      </c>
      <c r="K29" s="8">
        <v>2</v>
      </c>
      <c r="L29" s="23">
        <f>K29-VLOOKUP(I29,Roaming!C:E,3,FALSE)</f>
        <v>2</v>
      </c>
      <c r="M29" s="13" t="s">
        <v>476</v>
      </c>
      <c r="N29" s="11"/>
    </row>
    <row r="30" spans="1:18" x14ac:dyDescent="0.35">
      <c r="A30" s="8" t="s">
        <v>55</v>
      </c>
      <c r="B30" s="8" t="s">
        <v>479</v>
      </c>
      <c r="C30" s="15">
        <v>29.9</v>
      </c>
      <c r="D30" s="8">
        <v>7</v>
      </c>
      <c r="E30" s="23">
        <f>D30-VLOOKUP(B30,Roaming!C:E,3,FALSE)</f>
        <v>7</v>
      </c>
      <c r="F30" s="13" t="s">
        <v>70</v>
      </c>
      <c r="G30" s="11"/>
      <c r="H30" s="8" t="s">
        <v>66</v>
      </c>
      <c r="I30" s="33" t="s">
        <v>480</v>
      </c>
      <c r="J30" s="15">
        <v>333</v>
      </c>
      <c r="K30" s="8">
        <v>2</v>
      </c>
      <c r="L30" s="23">
        <f>K30-VLOOKUP(I30,Roaming!C:E,3,FALSE)</f>
        <v>2</v>
      </c>
      <c r="M30" s="13" t="s">
        <v>481</v>
      </c>
      <c r="N30" s="11"/>
    </row>
    <row r="31" spans="1:18" x14ac:dyDescent="0.35">
      <c r="A31" s="8" t="s">
        <v>55</v>
      </c>
      <c r="B31" s="8" t="s">
        <v>482</v>
      </c>
      <c r="C31" s="15">
        <v>59</v>
      </c>
      <c r="D31" s="8">
        <v>10</v>
      </c>
      <c r="E31" s="23">
        <f>D31-VLOOKUP(B31,Roaming!C:E,3,FALSE)</f>
        <v>8</v>
      </c>
      <c r="F31" s="13" t="s">
        <v>483</v>
      </c>
      <c r="G31" s="11"/>
      <c r="H31" s="8" t="s">
        <v>124</v>
      </c>
      <c r="I31" s="33" t="s">
        <v>484</v>
      </c>
      <c r="J31" s="15">
        <v>480</v>
      </c>
      <c r="K31" s="8">
        <v>4</v>
      </c>
      <c r="L31" s="23">
        <f>K31-VLOOKUP(I31,Roaming!C:E,3,FALSE)</f>
        <v>4</v>
      </c>
      <c r="M31" s="13" t="s">
        <v>485</v>
      </c>
      <c r="N31" s="11"/>
    </row>
    <row r="32" spans="1:18" x14ac:dyDescent="0.35">
      <c r="A32" s="8" t="s">
        <v>86</v>
      </c>
      <c r="B32" s="8" t="s">
        <v>486</v>
      </c>
      <c r="C32" s="15">
        <v>39</v>
      </c>
      <c r="D32" s="8">
        <v>5</v>
      </c>
      <c r="E32" s="23">
        <f>D32-VLOOKUP(B32,Roaming!C:E,3,FALSE)</f>
        <v>5</v>
      </c>
      <c r="F32" s="13" t="s">
        <v>487</v>
      </c>
      <c r="G32" s="11"/>
      <c r="H32" s="8" t="s">
        <v>124</v>
      </c>
      <c r="I32" s="8" t="s">
        <v>488</v>
      </c>
      <c r="J32" s="15">
        <v>480</v>
      </c>
      <c r="K32" s="8">
        <v>2</v>
      </c>
      <c r="L32" s="23">
        <f>K32-VLOOKUP(I32,Roaming!C:E,3,FALSE)</f>
        <v>2</v>
      </c>
      <c r="M32" s="13" t="s">
        <v>485</v>
      </c>
      <c r="N32" s="11"/>
    </row>
    <row r="33" spans="1:14" x14ac:dyDescent="0.35">
      <c r="A33" s="8" t="s">
        <v>86</v>
      </c>
      <c r="B33" s="33" t="s">
        <v>489</v>
      </c>
      <c r="C33" s="15">
        <v>39</v>
      </c>
      <c r="D33" s="8">
        <v>2</v>
      </c>
      <c r="E33" s="23">
        <f>D33-VLOOKUP(B33,Roaming!C:E,3,FALSE)</f>
        <v>2</v>
      </c>
      <c r="F33" s="13" t="s">
        <v>490</v>
      </c>
      <c r="G33" s="11"/>
      <c r="H33" s="8" t="s">
        <v>124</v>
      </c>
      <c r="I33" s="33" t="s">
        <v>491</v>
      </c>
      <c r="J33" s="15">
        <v>0</v>
      </c>
      <c r="K33" s="8">
        <v>1</v>
      </c>
      <c r="L33" s="23">
        <f>K33-VLOOKUP(I33,Roaming!C:E,3,FALSE)</f>
        <v>1</v>
      </c>
      <c r="M33" s="13" t="s">
        <v>492</v>
      </c>
      <c r="N33" s="11"/>
    </row>
    <row r="34" spans="1:14" x14ac:dyDescent="0.35">
      <c r="A34" s="8" t="s">
        <v>86</v>
      </c>
      <c r="B34" s="8" t="s">
        <v>493</v>
      </c>
      <c r="C34" s="15">
        <v>54</v>
      </c>
      <c r="D34" s="8">
        <v>12</v>
      </c>
      <c r="E34" s="23">
        <f>D34-VLOOKUP(B34,Roaming!C:E,3,FALSE)</f>
        <v>12</v>
      </c>
      <c r="F34" s="13" t="s">
        <v>494</v>
      </c>
      <c r="G34" s="11"/>
      <c r="H34" s="8" t="s">
        <v>124</v>
      </c>
      <c r="I34" s="33" t="s">
        <v>495</v>
      </c>
      <c r="J34" s="15">
        <v>481</v>
      </c>
      <c r="K34" s="8">
        <v>6</v>
      </c>
      <c r="L34" s="23">
        <f>K34-VLOOKUP(I34,Roaming!C:E,3,FALSE)</f>
        <v>6</v>
      </c>
      <c r="M34" s="13" t="s">
        <v>496</v>
      </c>
      <c r="N34" s="11"/>
    </row>
    <row r="35" spans="1:14" x14ac:dyDescent="0.35">
      <c r="A35" s="8" t="s">
        <v>86</v>
      </c>
      <c r="B35" s="8" t="s">
        <v>497</v>
      </c>
      <c r="C35" s="15">
        <v>54</v>
      </c>
      <c r="D35" s="8">
        <v>4</v>
      </c>
      <c r="E35" s="23">
        <f>D35-VLOOKUP(B35,Roaming!C:E,3,FALSE)</f>
        <v>4</v>
      </c>
      <c r="F35" s="13" t="s">
        <v>494</v>
      </c>
      <c r="G35" s="11"/>
      <c r="H35" s="8" t="s">
        <v>124</v>
      </c>
      <c r="I35" s="8" t="s">
        <v>498</v>
      </c>
      <c r="J35" s="15">
        <v>480</v>
      </c>
      <c r="K35" s="8">
        <v>3</v>
      </c>
      <c r="L35" s="23">
        <f>K35-VLOOKUP(I35,Roaming!C:E,3,FALSE)</f>
        <v>3</v>
      </c>
      <c r="M35" s="14" t="s">
        <v>499</v>
      </c>
      <c r="N35" s="11"/>
    </row>
    <row r="36" spans="1:14" x14ac:dyDescent="0.35">
      <c r="A36" s="8" t="s">
        <v>500</v>
      </c>
      <c r="B36" s="8" t="s">
        <v>501</v>
      </c>
      <c r="C36" s="15">
        <v>54</v>
      </c>
      <c r="D36" s="8">
        <v>4</v>
      </c>
      <c r="E36" s="23">
        <f>D36-VLOOKUP(B36,Roaming!C:E,3,FALSE)</f>
        <v>4</v>
      </c>
      <c r="F36" s="13" t="s">
        <v>494</v>
      </c>
      <c r="G36" s="11"/>
      <c r="H36" s="8" t="s">
        <v>124</v>
      </c>
      <c r="I36" s="8" t="s">
        <v>502</v>
      </c>
      <c r="J36" s="15">
        <v>318</v>
      </c>
      <c r="K36" s="8">
        <v>3</v>
      </c>
      <c r="L36" s="23">
        <f>K36-VLOOKUP(I36,Roaming!C:E,3,FALSE)</f>
        <v>3</v>
      </c>
      <c r="M36" s="13" t="s">
        <v>492</v>
      </c>
      <c r="N36" s="11"/>
    </row>
    <row r="37" spans="1:14" x14ac:dyDescent="0.35">
      <c r="A37" s="8" t="s">
        <v>86</v>
      </c>
      <c r="B37" s="8" t="s">
        <v>503</v>
      </c>
      <c r="C37" s="15">
        <v>54</v>
      </c>
      <c r="D37" s="8">
        <v>4</v>
      </c>
      <c r="E37" s="23">
        <f>D37-VLOOKUP(B37,Roaming!C:E,3,FALSE)</f>
        <v>4</v>
      </c>
      <c r="F37" s="13" t="s">
        <v>504</v>
      </c>
      <c r="G37" s="11"/>
      <c r="H37" s="8" t="s">
        <v>505</v>
      </c>
      <c r="I37" s="8" t="s">
        <v>506</v>
      </c>
      <c r="J37" s="15">
        <v>442.9</v>
      </c>
      <c r="K37" s="8">
        <v>3</v>
      </c>
      <c r="L37" s="23">
        <f>K37-VLOOKUP(I37,Roaming!C:E,3,FALSE)</f>
        <v>2</v>
      </c>
      <c r="M37" s="14" t="s">
        <v>507</v>
      </c>
      <c r="N37" s="11"/>
    </row>
    <row r="38" spans="1:14" x14ac:dyDescent="0.35">
      <c r="A38" s="8" t="s">
        <v>86</v>
      </c>
      <c r="B38" s="33" t="s">
        <v>508</v>
      </c>
      <c r="C38" s="22">
        <v>0</v>
      </c>
      <c r="D38" s="8">
        <v>2</v>
      </c>
      <c r="E38" s="23">
        <f>D38-VLOOKUP(B38,Roaming!C:E,3,FALSE)</f>
        <v>1</v>
      </c>
      <c r="F38" s="13" t="s">
        <v>509</v>
      </c>
      <c r="G38" s="11"/>
      <c r="H38" s="8" t="s">
        <v>72</v>
      </c>
      <c r="I38" s="8" t="s">
        <v>510</v>
      </c>
      <c r="J38" s="15">
        <v>225</v>
      </c>
      <c r="K38" s="8">
        <v>2</v>
      </c>
      <c r="L38" s="23">
        <f>K38-VLOOKUP(I38,Roaming!C:E,3,FALSE)</f>
        <v>1</v>
      </c>
      <c r="M38" s="13" t="s">
        <v>511</v>
      </c>
      <c r="N38" s="11"/>
    </row>
    <row r="39" spans="1:14" x14ac:dyDescent="0.35">
      <c r="A39" s="8" t="s">
        <v>86</v>
      </c>
      <c r="B39" s="8" t="s">
        <v>512</v>
      </c>
      <c r="C39" s="15">
        <v>80</v>
      </c>
      <c r="D39" s="8">
        <v>12</v>
      </c>
      <c r="E39" s="23">
        <f>D39-VLOOKUP(B39,Roaming!C:E,3,FALSE)</f>
        <v>12</v>
      </c>
      <c r="F39" s="13" t="s">
        <v>509</v>
      </c>
      <c r="G39" s="11"/>
      <c r="H39" s="8" t="s">
        <v>268</v>
      </c>
      <c r="I39" s="33" t="s">
        <v>513</v>
      </c>
      <c r="J39" s="15">
        <v>289</v>
      </c>
      <c r="K39" s="8">
        <v>2</v>
      </c>
      <c r="L39" s="23">
        <f>K39-VLOOKUP(I39,Roaming!C:E,3,FALSE)</f>
        <v>2</v>
      </c>
      <c r="M39" s="13" t="s">
        <v>514</v>
      </c>
      <c r="N39" s="11"/>
    </row>
    <row r="40" spans="1:14" x14ac:dyDescent="0.35">
      <c r="A40" s="8" t="s">
        <v>86</v>
      </c>
      <c r="B40" s="8" t="s">
        <v>515</v>
      </c>
      <c r="C40" s="15">
        <v>80</v>
      </c>
      <c r="D40" s="8">
        <v>2</v>
      </c>
      <c r="E40" s="23">
        <f>D40-VLOOKUP(B40,Roaming!C:E,3,FALSE)</f>
        <v>2</v>
      </c>
      <c r="F40" s="13" t="s">
        <v>509</v>
      </c>
      <c r="G40" s="11"/>
      <c r="H40" s="8" t="s">
        <v>83</v>
      </c>
      <c r="I40" s="8" t="s">
        <v>516</v>
      </c>
      <c r="J40" s="15">
        <v>289</v>
      </c>
      <c r="K40" s="8">
        <v>3</v>
      </c>
      <c r="L40" s="23">
        <f>K40-VLOOKUP(I40,Roaming!C:E,3,FALSE)</f>
        <v>3</v>
      </c>
      <c r="M40" s="13" t="s">
        <v>517</v>
      </c>
      <c r="N40" s="11"/>
    </row>
    <row r="41" spans="1:14" x14ac:dyDescent="0.35">
      <c r="A41" s="8" t="s">
        <v>59</v>
      </c>
      <c r="B41" s="8" t="s">
        <v>518</v>
      </c>
      <c r="C41" s="15">
        <v>9.9</v>
      </c>
      <c r="D41" s="8">
        <v>5</v>
      </c>
      <c r="E41" s="23">
        <f>D41-VLOOKUP(B41,Roaming!C:E,3,FALSE)</f>
        <v>4</v>
      </c>
      <c r="F41" s="13" t="s">
        <v>519</v>
      </c>
      <c r="G41" s="11"/>
      <c r="H41" s="8" t="s">
        <v>83</v>
      </c>
      <c r="I41" s="8" t="s">
        <v>520</v>
      </c>
      <c r="J41" s="15">
        <v>320</v>
      </c>
      <c r="K41" s="8">
        <v>2</v>
      </c>
      <c r="L41" s="23">
        <f>K41-VLOOKUP(I41,Roaming!C:E,3,FALSE)</f>
        <v>2</v>
      </c>
      <c r="M41" s="13" t="s">
        <v>521</v>
      </c>
      <c r="N41" s="11"/>
    </row>
    <row r="42" spans="1:14" x14ac:dyDescent="0.35">
      <c r="A42" s="8" t="s">
        <v>59</v>
      </c>
      <c r="B42" s="8" t="s">
        <v>522</v>
      </c>
      <c r="C42" s="15">
        <v>65</v>
      </c>
      <c r="D42" s="8">
        <v>7</v>
      </c>
      <c r="E42" s="23">
        <f>D42-VLOOKUP(B42,Roaming!C:E,3,FALSE)</f>
        <v>7</v>
      </c>
      <c r="F42" s="13" t="s">
        <v>208</v>
      </c>
      <c r="G42" s="11"/>
      <c r="H42" s="8" t="s">
        <v>209</v>
      </c>
      <c r="I42" s="8" t="s">
        <v>523</v>
      </c>
      <c r="J42" s="15">
        <v>399</v>
      </c>
      <c r="K42" s="8">
        <v>3</v>
      </c>
      <c r="L42" s="23">
        <f>K42-VLOOKUP(I42,Roaming!C:E,3,FALSE)</f>
        <v>3</v>
      </c>
      <c r="M42" s="13" t="s">
        <v>211</v>
      </c>
      <c r="N42" s="11"/>
    </row>
    <row r="43" spans="1:14" x14ac:dyDescent="0.35">
      <c r="A43" s="8" t="s">
        <v>103</v>
      </c>
      <c r="B43" s="8" t="s">
        <v>524</v>
      </c>
      <c r="C43" s="15">
        <v>65</v>
      </c>
      <c r="D43" s="8">
        <v>4</v>
      </c>
      <c r="E43" s="23">
        <f>D43-VLOOKUP(B43,Roaming!C:E,3,FALSE)</f>
        <v>2</v>
      </c>
      <c r="F43" s="13" t="s">
        <v>525</v>
      </c>
      <c r="G43" s="11"/>
      <c r="H43" s="8" t="s">
        <v>526</v>
      </c>
      <c r="I43" s="33" t="s">
        <v>527</v>
      </c>
      <c r="J43" s="15">
        <v>399</v>
      </c>
      <c r="K43" s="8">
        <v>1</v>
      </c>
      <c r="L43" s="23">
        <f>K43-VLOOKUP(I43,Roaming!C:E,3,FALSE)</f>
        <v>1</v>
      </c>
      <c r="M43" s="13" t="s">
        <v>528</v>
      </c>
      <c r="N43" s="11"/>
    </row>
    <row r="44" spans="1:14" x14ac:dyDescent="0.35">
      <c r="A44" s="8" t="s">
        <v>103</v>
      </c>
      <c r="B44" s="8" t="s">
        <v>529</v>
      </c>
      <c r="C44" s="15">
        <v>65</v>
      </c>
      <c r="D44" s="8">
        <v>8</v>
      </c>
      <c r="E44" s="23">
        <f>D44-VLOOKUP(B44,Roaming!C:E,3,FALSE)</f>
        <v>7</v>
      </c>
      <c r="F44" s="13" t="s">
        <v>530</v>
      </c>
      <c r="G44" s="11"/>
      <c r="H44" s="8" t="s">
        <v>526</v>
      </c>
      <c r="I44" s="33" t="s">
        <v>531</v>
      </c>
      <c r="J44" s="15">
        <v>399</v>
      </c>
      <c r="K44" s="8">
        <v>3</v>
      </c>
      <c r="L44" s="23">
        <f>K44-VLOOKUP(I44,Roaming!C:E,3,FALSE)</f>
        <v>2</v>
      </c>
      <c r="M44" s="13" t="s">
        <v>532</v>
      </c>
      <c r="N44" s="11"/>
    </row>
    <row r="45" spans="1:14" x14ac:dyDescent="0.35">
      <c r="A45" s="8" t="s">
        <v>124</v>
      </c>
      <c r="B45" s="8" t="s">
        <v>533</v>
      </c>
      <c r="C45" s="28">
        <v>87</v>
      </c>
      <c r="D45" s="8">
        <v>2</v>
      </c>
      <c r="E45" s="23">
        <f>D45-VLOOKUP(B45,Roaming!C:E,3,FALSE)</f>
        <v>2</v>
      </c>
      <c r="F45" s="13" t="s">
        <v>534</v>
      </c>
      <c r="G45" s="11"/>
      <c r="H45" s="29" t="s">
        <v>526</v>
      </c>
      <c r="I45" s="29" t="s">
        <v>535</v>
      </c>
      <c r="J45" s="28">
        <v>429</v>
      </c>
      <c r="K45" s="29">
        <v>1</v>
      </c>
      <c r="L45" s="30">
        <f>K45-VLOOKUP(I45,Roaming!C:E,3,FALSE)</f>
        <v>1</v>
      </c>
      <c r="M45" s="13" t="s">
        <v>532</v>
      </c>
      <c r="N45" s="11"/>
    </row>
    <row r="46" spans="1:14" x14ac:dyDescent="0.35">
      <c r="A46" s="8" t="s">
        <v>124</v>
      </c>
      <c r="B46" s="8" t="s">
        <v>536</v>
      </c>
      <c r="C46" s="28">
        <v>87</v>
      </c>
      <c r="D46" s="8">
        <v>7</v>
      </c>
      <c r="E46" s="23">
        <f>D46-VLOOKUP(B46,Roaming!C:E,3,FALSE)</f>
        <v>6</v>
      </c>
      <c r="F46" s="13" t="s">
        <v>537</v>
      </c>
      <c r="G46" s="11"/>
      <c r="H46" s="8" t="s">
        <v>526</v>
      </c>
      <c r="I46" s="8" t="s">
        <v>538</v>
      </c>
      <c r="J46" s="28">
        <v>429</v>
      </c>
      <c r="K46" s="8">
        <v>1</v>
      </c>
      <c r="L46" s="23">
        <f>K46-VLOOKUP(I46,Roaming!C:E,3,FALSE)</f>
        <v>1</v>
      </c>
      <c r="M46" s="13" t="s">
        <v>539</v>
      </c>
    </row>
    <row r="47" spans="1:14" x14ac:dyDescent="0.35">
      <c r="A47" s="8" t="s">
        <v>124</v>
      </c>
      <c r="B47" s="8" t="s">
        <v>540</v>
      </c>
      <c r="C47" s="15">
        <v>87</v>
      </c>
      <c r="D47" s="8">
        <v>5</v>
      </c>
      <c r="E47" s="23">
        <f>D47-VLOOKUP(B47,Roaming!C:E,3,FALSE)</f>
        <v>5</v>
      </c>
      <c r="F47" s="13" t="s">
        <v>541</v>
      </c>
      <c r="G47" s="11"/>
      <c r="H47" s="8" t="s">
        <v>526</v>
      </c>
      <c r="I47" s="8" t="s">
        <v>542</v>
      </c>
      <c r="J47" s="28">
        <v>250</v>
      </c>
      <c r="K47" s="8">
        <v>1</v>
      </c>
      <c r="L47" s="23">
        <f>K47-VLOOKUP(I47,Roaming!C:E,3,FALSE)</f>
        <v>1</v>
      </c>
      <c r="M47" s="13" t="s">
        <v>543</v>
      </c>
    </row>
    <row r="48" spans="1:14" x14ac:dyDescent="0.35">
      <c r="A48" s="8" t="s">
        <v>124</v>
      </c>
      <c r="B48" s="33" t="s">
        <v>544</v>
      </c>
      <c r="C48" s="22">
        <v>0</v>
      </c>
      <c r="D48" s="8">
        <v>3</v>
      </c>
      <c r="E48" s="23">
        <f>D48-VLOOKUP(B48,Roaming!C:E,3,FALSE)</f>
        <v>3</v>
      </c>
      <c r="F48" s="13" t="s">
        <v>545</v>
      </c>
      <c r="G48" s="11"/>
      <c r="H48" s="8" t="s">
        <v>526</v>
      </c>
      <c r="I48" s="8" t="s">
        <v>546</v>
      </c>
      <c r="J48" s="28">
        <v>250</v>
      </c>
      <c r="K48" s="8">
        <v>3</v>
      </c>
      <c r="L48" s="23">
        <f>K48-VLOOKUP(I48,Roaming!C:E,3,FALSE)</f>
        <v>3</v>
      </c>
      <c r="M48" s="13" t="s">
        <v>547</v>
      </c>
      <c r="N48" s="11"/>
    </row>
    <row r="49" spans="1:14" x14ac:dyDescent="0.35">
      <c r="A49" s="8" t="s">
        <v>124</v>
      </c>
      <c r="B49" s="8" t="s">
        <v>548</v>
      </c>
      <c r="C49" s="15">
        <v>97</v>
      </c>
      <c r="D49" s="8">
        <v>4</v>
      </c>
      <c r="E49" s="23">
        <f>D49-VLOOKUP(B49,Roaming!C:E,3,FALSE)</f>
        <v>3</v>
      </c>
      <c r="F49" s="13" t="s">
        <v>545</v>
      </c>
      <c r="H49" s="8" t="s">
        <v>526</v>
      </c>
      <c r="I49" s="8" t="s">
        <v>549</v>
      </c>
      <c r="J49" s="28">
        <v>250</v>
      </c>
      <c r="K49" s="8">
        <v>5</v>
      </c>
      <c r="L49" s="23">
        <f>K49-VLOOKUP(I49,Roaming!C:E,3,FALSE)</f>
        <v>5</v>
      </c>
      <c r="M49" s="13" t="s">
        <v>550</v>
      </c>
      <c r="N49" s="11"/>
    </row>
    <row r="50" spans="1:14" x14ac:dyDescent="0.35">
      <c r="A50" s="8" t="s">
        <v>124</v>
      </c>
      <c r="B50" s="8" t="s">
        <v>551</v>
      </c>
      <c r="C50" s="15">
        <v>97</v>
      </c>
      <c r="D50" s="8">
        <v>2</v>
      </c>
      <c r="E50" s="23">
        <f>D50-VLOOKUP(B50,Roaming!C:E,3,FALSE)</f>
        <v>2</v>
      </c>
      <c r="F50" s="13" t="s">
        <v>545</v>
      </c>
      <c r="G50" s="11"/>
      <c r="H50" s="8" t="s">
        <v>229</v>
      </c>
      <c r="I50" s="8" t="s">
        <v>552</v>
      </c>
      <c r="J50" s="28">
        <v>348</v>
      </c>
      <c r="K50" s="8">
        <v>5</v>
      </c>
      <c r="L50" s="23">
        <f>K50-VLOOKUP(I50,Roaming!C:E,3,FALSE)</f>
        <v>4</v>
      </c>
      <c r="M50" s="13" t="s">
        <v>553</v>
      </c>
      <c r="N50" s="11"/>
    </row>
    <row r="51" spans="1:14" x14ac:dyDescent="0.35">
      <c r="A51" s="8" t="s">
        <v>124</v>
      </c>
      <c r="B51" s="8" t="s">
        <v>554</v>
      </c>
      <c r="C51" s="15">
        <v>97</v>
      </c>
      <c r="D51" s="8">
        <v>4</v>
      </c>
      <c r="E51" s="23">
        <f>D51-VLOOKUP(B51,Roaming!C:E,3,FALSE)</f>
        <v>4</v>
      </c>
      <c r="F51" s="13" t="s">
        <v>545</v>
      </c>
      <c r="G51" s="11"/>
      <c r="N51" s="11"/>
    </row>
    <row r="52" spans="1:14" ht="15.5" x14ac:dyDescent="0.35">
      <c r="A52" s="8" t="s">
        <v>124</v>
      </c>
      <c r="B52" s="8" t="s">
        <v>555</v>
      </c>
      <c r="C52" s="15">
        <v>87</v>
      </c>
      <c r="D52" s="8">
        <v>11</v>
      </c>
      <c r="E52" s="23">
        <f>D52-VLOOKUP(B52,Roaming!C:E,3,FALSE)</f>
        <v>10</v>
      </c>
      <c r="F52" s="13" t="s">
        <v>556</v>
      </c>
      <c r="G52" s="11"/>
      <c r="H52" s="42" t="s">
        <v>557</v>
      </c>
      <c r="I52" s="43"/>
      <c r="J52" s="43"/>
      <c r="K52" s="43"/>
      <c r="L52" s="43"/>
      <c r="M52" s="43"/>
      <c r="N52" s="11"/>
    </row>
    <row r="53" spans="1:14" ht="15.5" x14ac:dyDescent="0.35">
      <c r="A53" s="8" t="s">
        <v>124</v>
      </c>
      <c r="B53" s="8" t="s">
        <v>558</v>
      </c>
      <c r="C53" s="15">
        <v>75</v>
      </c>
      <c r="D53" s="8">
        <v>9</v>
      </c>
      <c r="E53" s="23">
        <f>D53-VLOOKUP(B53,Roaming!C:E,3,FALSE)</f>
        <v>9</v>
      </c>
      <c r="F53" s="13" t="s">
        <v>507</v>
      </c>
      <c r="G53" s="11"/>
      <c r="H53" s="17" t="s">
        <v>37</v>
      </c>
      <c r="I53" s="18" t="str">
        <f>CONCATENATE(SUM(K54:K94)," Boards")</f>
        <v>95 Boards</v>
      </c>
      <c r="J53" s="19" t="s">
        <v>2</v>
      </c>
      <c r="K53" s="20" t="s">
        <v>3</v>
      </c>
      <c r="L53" s="19" t="s">
        <v>4</v>
      </c>
      <c r="M53" s="19" t="s">
        <v>38</v>
      </c>
      <c r="N53" s="11"/>
    </row>
    <row r="54" spans="1:14" x14ac:dyDescent="0.35">
      <c r="A54" s="8" t="s">
        <v>124</v>
      </c>
      <c r="B54" s="8" t="s">
        <v>559</v>
      </c>
      <c r="C54" s="15">
        <v>75</v>
      </c>
      <c r="D54" s="8">
        <v>2</v>
      </c>
      <c r="E54" s="23">
        <f>D54-VLOOKUP(B54,Roaming!C:E,3,FALSE)</f>
        <v>2</v>
      </c>
      <c r="F54" s="13" t="s">
        <v>507</v>
      </c>
      <c r="G54" s="11"/>
      <c r="H54" s="8"/>
      <c r="I54" s="8" t="s">
        <v>560</v>
      </c>
      <c r="J54" s="22"/>
      <c r="K54" s="8">
        <v>2</v>
      </c>
      <c r="L54" s="23">
        <f>K54-VLOOKUP(I54,Roaming!C:E,3,FALSE)</f>
        <v>2</v>
      </c>
      <c r="M54" s="13" t="s">
        <v>561</v>
      </c>
      <c r="N54" s="11"/>
    </row>
    <row r="55" spans="1:14" x14ac:dyDescent="0.35">
      <c r="A55" s="8" t="s">
        <v>124</v>
      </c>
      <c r="B55" s="8" t="s">
        <v>562</v>
      </c>
      <c r="C55" s="15">
        <v>99</v>
      </c>
      <c r="D55" s="8">
        <v>5</v>
      </c>
      <c r="E55" s="23">
        <f>D55-VLOOKUP(B55,Roaming!C:E,3,FALSE)</f>
        <v>5</v>
      </c>
      <c r="F55" s="13" t="s">
        <v>563</v>
      </c>
      <c r="G55" s="11"/>
      <c r="H55" s="8" t="s">
        <v>45</v>
      </c>
      <c r="I55" s="8" t="s">
        <v>564</v>
      </c>
      <c r="J55" s="22"/>
      <c r="K55" s="8">
        <v>2</v>
      </c>
      <c r="L55" s="23">
        <f>K55-VLOOKUP(I55,Roaming!C:E,3,FALSE)</f>
        <v>2</v>
      </c>
      <c r="M55" s="13" t="s">
        <v>565</v>
      </c>
      <c r="N55" s="11"/>
    </row>
    <row r="56" spans="1:14" x14ac:dyDescent="0.35">
      <c r="A56" s="8" t="s">
        <v>124</v>
      </c>
      <c r="B56" s="8" t="s">
        <v>566</v>
      </c>
      <c r="C56" s="15">
        <v>99</v>
      </c>
      <c r="D56" s="8">
        <v>1</v>
      </c>
      <c r="E56" s="23">
        <f>D56-VLOOKUP(B56,Roaming!C:E,3,FALSE)</f>
        <v>1</v>
      </c>
      <c r="F56" s="13" t="s">
        <v>563</v>
      </c>
      <c r="G56" s="11"/>
      <c r="H56" s="8" t="s">
        <v>45</v>
      </c>
      <c r="I56" s="8" t="s">
        <v>567</v>
      </c>
      <c r="J56" s="22"/>
      <c r="K56" s="8">
        <v>2</v>
      </c>
      <c r="L56" s="23">
        <f>K56-VLOOKUP(I56,Roaming!C:E,3,FALSE)</f>
        <v>2</v>
      </c>
      <c r="M56" s="13" t="s">
        <v>565</v>
      </c>
      <c r="N56" s="11"/>
    </row>
    <row r="57" spans="1:14" x14ac:dyDescent="0.35">
      <c r="A57" s="8" t="s">
        <v>124</v>
      </c>
      <c r="B57" s="8" t="s">
        <v>568</v>
      </c>
      <c r="C57" s="15">
        <v>99</v>
      </c>
      <c r="D57" s="8">
        <v>6</v>
      </c>
      <c r="E57" s="23">
        <f>D57-VLOOKUP(B57,Roaming!C:E,3,FALSE)</f>
        <v>6</v>
      </c>
      <c r="F57" s="13" t="s">
        <v>569</v>
      </c>
      <c r="G57" s="11"/>
      <c r="H57" s="8" t="s">
        <v>45</v>
      </c>
      <c r="I57" s="8" t="s">
        <v>570</v>
      </c>
      <c r="J57" s="22"/>
      <c r="K57" s="8">
        <v>2</v>
      </c>
      <c r="L57" s="23">
        <f>K57-VLOOKUP(I57,Roaming!C:E,3,FALSE)</f>
        <v>2</v>
      </c>
      <c r="M57" s="13" t="s">
        <v>565</v>
      </c>
      <c r="N57" s="11"/>
    </row>
    <row r="58" spans="1:14" x14ac:dyDescent="0.35">
      <c r="A58" s="8" t="s">
        <v>72</v>
      </c>
      <c r="B58" s="8" t="s">
        <v>571</v>
      </c>
      <c r="C58" s="15">
        <v>23.4</v>
      </c>
      <c r="D58" s="8">
        <v>4</v>
      </c>
      <c r="E58" s="23">
        <f>D58-VLOOKUP(B58,Roaming!C:E,3,FALSE)</f>
        <v>4</v>
      </c>
      <c r="F58" s="13" t="s">
        <v>572</v>
      </c>
      <c r="G58" s="11"/>
      <c r="H58" s="8" t="s">
        <v>45</v>
      </c>
      <c r="I58" s="8" t="s">
        <v>573</v>
      </c>
      <c r="J58" s="22"/>
      <c r="K58" s="8">
        <v>2</v>
      </c>
      <c r="L58" s="23">
        <f>K58-VLOOKUP(I58,Roaming!C:E,3,FALSE)</f>
        <v>2</v>
      </c>
      <c r="M58" s="13" t="s">
        <v>565</v>
      </c>
      <c r="N58" s="11"/>
    </row>
    <row r="59" spans="1:14" x14ac:dyDescent="0.35">
      <c r="A59" s="8" t="s">
        <v>268</v>
      </c>
      <c r="B59" s="33" t="s">
        <v>574</v>
      </c>
      <c r="C59" s="15">
        <v>7.9</v>
      </c>
      <c r="D59" s="8">
        <v>1</v>
      </c>
      <c r="E59" s="23">
        <f>D59-VLOOKUP(B59,Roaming!C:E,3,FALSE)</f>
        <v>1</v>
      </c>
      <c r="F59" s="13" t="s">
        <v>575</v>
      </c>
      <c r="G59" s="11"/>
      <c r="H59" s="8" t="s">
        <v>296</v>
      </c>
      <c r="I59" s="8" t="s">
        <v>576</v>
      </c>
      <c r="J59" s="22"/>
      <c r="K59" s="8">
        <v>4</v>
      </c>
      <c r="L59" s="23">
        <f>K59-VLOOKUP(I59,Roaming!C:E,3,FALSE)</f>
        <v>4</v>
      </c>
      <c r="M59" s="13" t="s">
        <v>577</v>
      </c>
      <c r="N59" s="11"/>
    </row>
    <row r="60" spans="1:14" x14ac:dyDescent="0.35">
      <c r="A60" s="8" t="s">
        <v>268</v>
      </c>
      <c r="B60" s="8" t="s">
        <v>578</v>
      </c>
      <c r="C60" s="15">
        <v>12.4</v>
      </c>
      <c r="D60" s="8">
        <v>3</v>
      </c>
      <c r="E60" s="23">
        <f>D60-VLOOKUP(B60,Roaming!C:E,3,FALSE)</f>
        <v>3</v>
      </c>
      <c r="F60" s="13" t="s">
        <v>579</v>
      </c>
      <c r="G60" s="11"/>
      <c r="H60" s="8"/>
      <c r="I60" s="8" t="s">
        <v>580</v>
      </c>
      <c r="J60" s="22"/>
      <c r="K60" s="8">
        <v>1</v>
      </c>
      <c r="L60" s="23">
        <f>K60-VLOOKUP(I60,Roaming!C:E,3,FALSE)</f>
        <v>1</v>
      </c>
      <c r="M60" s="13" t="s">
        <v>581</v>
      </c>
      <c r="N60" s="11"/>
    </row>
    <row r="61" spans="1:14" x14ac:dyDescent="0.35">
      <c r="A61" s="8" t="s">
        <v>268</v>
      </c>
      <c r="B61" s="33" t="s">
        <v>582</v>
      </c>
      <c r="C61" s="22"/>
      <c r="D61" s="8">
        <v>3</v>
      </c>
      <c r="E61" s="23">
        <f>D61-VLOOKUP(B61,Roaming!C:E,3,FALSE)</f>
        <v>3</v>
      </c>
      <c r="F61" s="13" t="s">
        <v>583</v>
      </c>
      <c r="G61" s="11"/>
      <c r="H61" s="8" t="s">
        <v>55</v>
      </c>
      <c r="I61" s="8" t="s">
        <v>584</v>
      </c>
      <c r="J61" s="22"/>
      <c r="K61" s="8">
        <v>1</v>
      </c>
      <c r="L61" s="23">
        <f>K61-VLOOKUP(I61,Roaming!C:E,3,FALSE)</f>
        <v>1</v>
      </c>
      <c r="M61" s="13" t="s">
        <v>585</v>
      </c>
      <c r="N61" s="11"/>
    </row>
    <row r="62" spans="1:14" ht="15" customHeight="1" x14ac:dyDescent="0.35">
      <c r="A62" s="8" t="s">
        <v>83</v>
      </c>
      <c r="B62" s="33" t="s">
        <v>586</v>
      </c>
      <c r="C62" s="15">
        <v>24</v>
      </c>
      <c r="D62" s="8">
        <v>7</v>
      </c>
      <c r="E62" s="23">
        <f>D62-VLOOKUP(B62,Roaming!C:E,3,FALSE)</f>
        <v>7</v>
      </c>
      <c r="F62" s="13" t="s">
        <v>587</v>
      </c>
      <c r="H62" s="8" t="s">
        <v>55</v>
      </c>
      <c r="I62" s="33" t="s">
        <v>588</v>
      </c>
      <c r="J62" s="22"/>
      <c r="K62" s="8">
        <v>3</v>
      </c>
      <c r="L62" s="23">
        <f>K62-VLOOKUP(I62,Roaming!C:E,3,FALSE)</f>
        <v>3</v>
      </c>
      <c r="M62" s="13" t="s">
        <v>589</v>
      </c>
    </row>
    <row r="63" spans="1:14" ht="15" customHeight="1" x14ac:dyDescent="0.35">
      <c r="A63" s="8" t="s">
        <v>83</v>
      </c>
      <c r="B63" s="8" t="s">
        <v>590</v>
      </c>
      <c r="C63" s="15">
        <v>70</v>
      </c>
      <c r="D63" s="8">
        <v>10</v>
      </c>
      <c r="E63" s="23">
        <f>D63-VLOOKUP(B63,Roaming!C:E,3,FALSE)</f>
        <v>9</v>
      </c>
      <c r="F63" s="13" t="s">
        <v>287</v>
      </c>
      <c r="H63" s="8" t="s">
        <v>55</v>
      </c>
      <c r="I63" s="8" t="s">
        <v>591</v>
      </c>
      <c r="J63" s="22"/>
      <c r="K63" s="8">
        <v>2</v>
      </c>
      <c r="L63" s="23">
        <f>K63-VLOOKUP(I63,Roaming!C:E,3,FALSE)</f>
        <v>2</v>
      </c>
      <c r="M63" s="13" t="s">
        <v>589</v>
      </c>
    </row>
    <row r="64" spans="1:14" ht="15" customHeight="1" x14ac:dyDescent="0.35">
      <c r="A64" s="8" t="s">
        <v>83</v>
      </c>
      <c r="B64" s="8" t="s">
        <v>592</v>
      </c>
      <c r="C64" s="15">
        <v>38</v>
      </c>
      <c r="D64" s="12">
        <v>4</v>
      </c>
      <c r="E64" s="23">
        <f>D64-VLOOKUP(B64,Roaming!C:E,3,FALSE)</f>
        <v>4</v>
      </c>
      <c r="F64" s="13" t="s">
        <v>593</v>
      </c>
      <c r="H64" s="8" t="s">
        <v>45</v>
      </c>
      <c r="I64" s="8" t="s">
        <v>594</v>
      </c>
      <c r="J64" s="22"/>
      <c r="K64" s="8">
        <v>3</v>
      </c>
      <c r="L64" s="23">
        <f>K64-VLOOKUP(I64,Roaming!C:E,3,FALSE)</f>
        <v>3</v>
      </c>
      <c r="M64" s="13" t="s">
        <v>565</v>
      </c>
    </row>
    <row r="65" spans="1:13" ht="15" customHeight="1" x14ac:dyDescent="0.35">
      <c r="A65" s="8" t="s">
        <v>83</v>
      </c>
      <c r="B65" s="8" t="s">
        <v>595</v>
      </c>
      <c r="C65" s="15">
        <v>89</v>
      </c>
      <c r="D65" s="8">
        <v>7</v>
      </c>
      <c r="E65" s="23">
        <f>D65-VLOOKUP(B65,Roaming!C:E,3,FALSE)</f>
        <v>7</v>
      </c>
      <c r="F65" s="13" t="s">
        <v>521</v>
      </c>
      <c r="I65" s="8" t="s">
        <v>596</v>
      </c>
      <c r="J65" s="22"/>
      <c r="K65" s="8">
        <v>2</v>
      </c>
      <c r="L65" s="23">
        <f>K65-VLOOKUP(I65,Roaming!C:E,3,FALSE)</f>
        <v>2</v>
      </c>
      <c r="M65" s="13"/>
    </row>
    <row r="66" spans="1:13" ht="15" customHeight="1" x14ac:dyDescent="0.35">
      <c r="A66" s="8" t="s">
        <v>209</v>
      </c>
      <c r="B66" s="8" t="s">
        <v>597</v>
      </c>
      <c r="C66" s="15">
        <v>76</v>
      </c>
      <c r="D66" s="8">
        <v>14</v>
      </c>
      <c r="E66" s="23">
        <f>D66-VLOOKUP(B66,Roaming!C:E,3,FALSE)</f>
        <v>14</v>
      </c>
      <c r="F66" s="13" t="s">
        <v>598</v>
      </c>
      <c r="H66" s="8"/>
      <c r="I66" s="8" t="s">
        <v>599</v>
      </c>
      <c r="J66" s="22"/>
      <c r="K66" s="8">
        <v>2</v>
      </c>
      <c r="L66" s="23">
        <f>K66-VLOOKUP(I66,Roaming!C:E,3,FALSE)</f>
        <v>2</v>
      </c>
      <c r="M66" s="13"/>
    </row>
    <row r="67" spans="1:13" ht="15" customHeight="1" x14ac:dyDescent="0.35">
      <c r="A67" s="8" t="s">
        <v>216</v>
      </c>
      <c r="B67" s="8" t="s">
        <v>600</v>
      </c>
      <c r="C67" s="15">
        <v>0</v>
      </c>
      <c r="D67" s="8">
        <v>2</v>
      </c>
      <c r="E67" s="23">
        <f>D67-VLOOKUP(B67,Roaming!C:E,3,FALSE)</f>
        <v>2</v>
      </c>
      <c r="F67" s="13" t="s">
        <v>601</v>
      </c>
      <c r="H67" s="8"/>
      <c r="I67" s="8" t="s">
        <v>602</v>
      </c>
      <c r="J67" s="22"/>
      <c r="K67" s="8">
        <v>1</v>
      </c>
      <c r="L67" s="23">
        <f>K67-VLOOKUP(I67,Roaming!C:E,3,FALSE)</f>
        <v>1</v>
      </c>
      <c r="M67" s="13"/>
    </row>
    <row r="68" spans="1:13" x14ac:dyDescent="0.35">
      <c r="A68" s="8" t="s">
        <v>216</v>
      </c>
      <c r="B68" s="8" t="s">
        <v>603</v>
      </c>
      <c r="C68" s="15">
        <v>0</v>
      </c>
      <c r="D68" s="8">
        <v>1</v>
      </c>
      <c r="E68" s="23">
        <f>D68-VLOOKUP(B68,Roaming!C:E,3,FALSE)</f>
        <v>1</v>
      </c>
      <c r="F68" s="13" t="s">
        <v>601</v>
      </c>
      <c r="H68" s="8" t="s">
        <v>268</v>
      </c>
      <c r="I68" s="8" t="s">
        <v>604</v>
      </c>
      <c r="J68" s="22"/>
      <c r="K68" s="8">
        <v>1</v>
      </c>
      <c r="L68" s="23">
        <f>K68-VLOOKUP(I68,Roaming!C:E,3,FALSE)</f>
        <v>1</v>
      </c>
      <c r="M68" s="13"/>
    </row>
    <row r="69" spans="1:13" x14ac:dyDescent="0.35">
      <c r="A69" s="8" t="s">
        <v>216</v>
      </c>
      <c r="B69" s="8" t="s">
        <v>605</v>
      </c>
      <c r="C69" s="15">
        <v>0</v>
      </c>
      <c r="D69" s="8">
        <v>2</v>
      </c>
      <c r="E69" s="23">
        <f>D69-VLOOKUP(B69,Roaming!C:E,3,FALSE)</f>
        <v>2</v>
      </c>
      <c r="F69" s="13" t="s">
        <v>601</v>
      </c>
      <c r="H69" s="8" t="s">
        <v>55</v>
      </c>
      <c r="I69" s="8" t="s">
        <v>606</v>
      </c>
      <c r="J69" s="22"/>
      <c r="K69" s="22"/>
      <c r="L69" s="23">
        <f>K69-VLOOKUP(I69,Roaming!C:E,3,FALSE)</f>
        <v>0</v>
      </c>
      <c r="M69" s="13" t="s">
        <v>607</v>
      </c>
    </row>
    <row r="70" spans="1:13" x14ac:dyDescent="0.35">
      <c r="A70" s="8" t="s">
        <v>216</v>
      </c>
      <c r="B70" s="8" t="s">
        <v>608</v>
      </c>
      <c r="C70" s="15">
        <v>0</v>
      </c>
      <c r="D70" s="8">
        <v>3</v>
      </c>
      <c r="E70" s="23">
        <f>D70-VLOOKUP(B70,Roaming!C:E,3,FALSE)</f>
        <v>2</v>
      </c>
      <c r="F70" s="13" t="s">
        <v>224</v>
      </c>
      <c r="H70" s="8" t="s">
        <v>55</v>
      </c>
      <c r="I70" s="8" t="s">
        <v>609</v>
      </c>
      <c r="J70" s="22"/>
      <c r="K70" s="22"/>
      <c r="L70" s="23">
        <f>K70-VLOOKUP(I70,Roaming!C:E,3,FALSE)</f>
        <v>0</v>
      </c>
      <c r="M70" s="13" t="s">
        <v>607</v>
      </c>
    </row>
    <row r="71" spans="1:13" ht="15" customHeight="1" x14ac:dyDescent="0.35">
      <c r="A71" s="8" t="s">
        <v>303</v>
      </c>
      <c r="B71" s="8" t="s">
        <v>610</v>
      </c>
      <c r="C71" s="15">
        <v>0</v>
      </c>
      <c r="D71" s="8">
        <v>5</v>
      </c>
      <c r="E71" s="23">
        <f>D71-VLOOKUP(B71,Roaming!C:E,3,FALSE)</f>
        <v>4</v>
      </c>
      <c r="F71" s="13" t="s">
        <v>611</v>
      </c>
      <c r="H71" s="8" t="s">
        <v>156</v>
      </c>
      <c r="I71" s="8" t="s">
        <v>612</v>
      </c>
      <c r="J71" s="22"/>
      <c r="K71" s="22">
        <v>1</v>
      </c>
      <c r="L71" s="23">
        <f>K71-VLOOKUP(I71,Roaming!C:E,3,FALSE)</f>
        <v>1</v>
      </c>
      <c r="M71" s="13" t="s">
        <v>613</v>
      </c>
    </row>
    <row r="72" spans="1:13" ht="15" customHeight="1" x14ac:dyDescent="0.35">
      <c r="A72" s="8" t="s">
        <v>303</v>
      </c>
      <c r="B72" s="8" t="s">
        <v>614</v>
      </c>
      <c r="C72" s="15">
        <v>0</v>
      </c>
      <c r="D72" s="8">
        <v>7</v>
      </c>
      <c r="E72" s="23">
        <f>D72-VLOOKUP(B72,Roaming!C:E,3,FALSE)</f>
        <v>7</v>
      </c>
      <c r="F72" s="13" t="s">
        <v>615</v>
      </c>
      <c r="H72" s="8" t="s">
        <v>156</v>
      </c>
      <c r="I72" s="8" t="s">
        <v>616</v>
      </c>
      <c r="J72" s="22"/>
      <c r="K72" s="22">
        <v>1</v>
      </c>
      <c r="L72" s="23">
        <f>K72-VLOOKUP(I72,Roaming!C:E,3,FALSE)</f>
        <v>1</v>
      </c>
      <c r="M72" s="13" t="s">
        <v>613</v>
      </c>
    </row>
    <row r="73" spans="1:13" ht="15" customHeight="1" x14ac:dyDescent="0.35">
      <c r="A73" s="8" t="s">
        <v>229</v>
      </c>
      <c r="B73" s="8" t="s">
        <v>617</v>
      </c>
      <c r="C73" s="15">
        <v>89</v>
      </c>
      <c r="D73" s="8">
        <v>1</v>
      </c>
      <c r="E73" s="23">
        <f>D73-VLOOKUP(B73,Roaming!C:E,3,FALSE)</f>
        <v>1</v>
      </c>
      <c r="F73" s="13" t="s">
        <v>618</v>
      </c>
      <c r="H73" s="8" t="s">
        <v>39</v>
      </c>
      <c r="I73" s="8" t="s">
        <v>619</v>
      </c>
      <c r="J73" s="22"/>
      <c r="K73" s="22">
        <v>1</v>
      </c>
      <c r="L73" s="23">
        <f>K73-VLOOKUP(I73,Roaming!C:E,3,FALSE)</f>
        <v>1</v>
      </c>
      <c r="M73" s="13" t="s">
        <v>620</v>
      </c>
    </row>
    <row r="74" spans="1:13" ht="15" customHeight="1" x14ac:dyDescent="0.35">
      <c r="A74" s="8" t="s">
        <v>229</v>
      </c>
      <c r="B74" s="8" t="s">
        <v>621</v>
      </c>
      <c r="C74" s="15">
        <v>89</v>
      </c>
      <c r="D74" s="8">
        <v>1</v>
      </c>
      <c r="E74" s="23">
        <f>D74-VLOOKUP(B74,Roaming!C:E,3,FALSE)</f>
        <v>1</v>
      </c>
      <c r="F74" s="13" t="s">
        <v>618</v>
      </c>
      <c r="H74" s="8" t="s">
        <v>72</v>
      </c>
      <c r="I74" s="8" t="s">
        <v>622</v>
      </c>
      <c r="J74" s="22"/>
      <c r="K74" s="22">
        <v>1</v>
      </c>
      <c r="L74" s="23">
        <f>K74-VLOOKUP(I74,Roaming!C:E,3,FALSE)</f>
        <v>1</v>
      </c>
      <c r="M74" s="13" t="s">
        <v>623</v>
      </c>
    </row>
    <row r="75" spans="1:13" ht="15" customHeight="1" x14ac:dyDescent="0.35">
      <c r="A75" s="8" t="s">
        <v>229</v>
      </c>
      <c r="B75" s="8" t="s">
        <v>624</v>
      </c>
      <c r="C75" s="15">
        <v>89</v>
      </c>
      <c r="D75" s="8">
        <v>5</v>
      </c>
      <c r="E75" s="23">
        <f>D75-VLOOKUP(B75,Roaming!C:E,3,FALSE)</f>
        <v>5</v>
      </c>
      <c r="F75" s="13" t="s">
        <v>618</v>
      </c>
      <c r="H75" s="8" t="s">
        <v>49</v>
      </c>
      <c r="I75" s="8" t="s">
        <v>625</v>
      </c>
      <c r="J75" s="22"/>
      <c r="K75" s="22">
        <v>1</v>
      </c>
      <c r="L75" s="23">
        <f>K75-VLOOKUP(I75,Roaming!C:E,3,FALSE)</f>
        <v>1</v>
      </c>
      <c r="M75" s="13" t="s">
        <v>626</v>
      </c>
    </row>
    <row r="76" spans="1:13" ht="15" customHeight="1" x14ac:dyDescent="0.35">
      <c r="A76" s="8" t="s">
        <v>229</v>
      </c>
      <c r="B76" s="8" t="s">
        <v>627</v>
      </c>
      <c r="C76" s="15">
        <v>89</v>
      </c>
      <c r="D76" s="8">
        <v>9</v>
      </c>
      <c r="E76" s="23">
        <f>D76-VLOOKUP(B76,Roaming!C:E,3,FALSE)</f>
        <v>8</v>
      </c>
      <c r="F76" s="13" t="s">
        <v>628</v>
      </c>
      <c r="H76" s="8"/>
      <c r="I76" s="8" t="s">
        <v>629</v>
      </c>
      <c r="J76" s="22"/>
      <c r="K76" s="22">
        <v>4</v>
      </c>
      <c r="L76" s="23">
        <f>K76-VLOOKUP(I76,Roaming!C:E,3,FALSE)</f>
        <v>4</v>
      </c>
      <c r="M76" s="13"/>
    </row>
    <row r="77" spans="1:13" ht="15" customHeight="1" x14ac:dyDescent="0.35">
      <c r="A77" s="8" t="s">
        <v>229</v>
      </c>
      <c r="B77" s="8" t="s">
        <v>630</v>
      </c>
      <c r="C77" s="15">
        <v>89</v>
      </c>
      <c r="D77" s="8">
        <v>6</v>
      </c>
      <c r="E77" s="23">
        <f>D77-VLOOKUP(B77,Roaming!C:E,3,FALSE)</f>
        <v>6</v>
      </c>
      <c r="F77" s="13" t="s">
        <v>628</v>
      </c>
      <c r="H77" s="8"/>
      <c r="I77" s="8" t="s">
        <v>631</v>
      </c>
      <c r="J77" s="22"/>
      <c r="K77" s="22">
        <v>3</v>
      </c>
      <c r="L77" s="23">
        <f>K77-VLOOKUP(I77,Roaming!C:E,3,FALSE)</f>
        <v>3</v>
      </c>
      <c r="M77" s="13"/>
    </row>
    <row r="78" spans="1:13" x14ac:dyDescent="0.35">
      <c r="A78" s="8" t="s">
        <v>229</v>
      </c>
      <c r="B78" s="8" t="s">
        <v>632</v>
      </c>
      <c r="C78" s="15">
        <v>98.75</v>
      </c>
      <c r="D78" s="8">
        <v>4</v>
      </c>
      <c r="E78" s="23">
        <f>D78-VLOOKUP(B78,Roaming!C:E,3,FALSE)</f>
        <v>4</v>
      </c>
      <c r="F78" s="13" t="s">
        <v>633</v>
      </c>
      <c r="H78" s="8"/>
      <c r="I78" s="8" t="s">
        <v>634</v>
      </c>
      <c r="J78" s="22"/>
      <c r="K78" s="22">
        <v>4</v>
      </c>
      <c r="L78" s="23">
        <f>K78-VLOOKUP(I78,Roaming!C:E,3,FALSE)</f>
        <v>4</v>
      </c>
      <c r="M78" s="13"/>
    </row>
    <row r="79" spans="1:13" x14ac:dyDescent="0.35">
      <c r="A79" s="8" t="s">
        <v>229</v>
      </c>
      <c r="B79" s="8" t="s">
        <v>635</v>
      </c>
      <c r="C79" s="15">
        <v>75</v>
      </c>
      <c r="D79" s="8">
        <v>6</v>
      </c>
      <c r="E79" s="23">
        <f>D79-VLOOKUP(B79,Roaming!C:E,3,FALSE)</f>
        <v>6</v>
      </c>
      <c r="F79" s="13" t="s">
        <v>636</v>
      </c>
      <c r="H79" s="8"/>
      <c r="I79" s="8" t="s">
        <v>637</v>
      </c>
      <c r="J79" s="22"/>
      <c r="K79" s="22">
        <v>2</v>
      </c>
      <c r="L79" s="23">
        <f>K79-VLOOKUP(I79,Roaming!C:E,3,FALSE)</f>
        <v>2</v>
      </c>
      <c r="M79" s="13"/>
    </row>
    <row r="80" spans="1:13" x14ac:dyDescent="0.35">
      <c r="A80" s="8" t="s">
        <v>229</v>
      </c>
      <c r="B80" s="8" t="s">
        <v>638</v>
      </c>
      <c r="C80" s="15">
        <v>75</v>
      </c>
      <c r="D80" s="8">
        <v>8</v>
      </c>
      <c r="E80" s="23">
        <f>D80-VLOOKUP(B80,Roaming!C:E,3,FALSE)</f>
        <v>7</v>
      </c>
      <c r="F80" s="13" t="s">
        <v>639</v>
      </c>
      <c r="H80" s="8"/>
      <c r="I80" s="8" t="s">
        <v>640</v>
      </c>
      <c r="J80" s="15">
        <v>19</v>
      </c>
      <c r="K80" s="22">
        <v>4</v>
      </c>
      <c r="L80" s="23">
        <f>K80-VLOOKUP(I80,Roaming!C:E,3,FALSE)</f>
        <v>4</v>
      </c>
      <c r="M80" s="13"/>
    </row>
    <row r="81" spans="1:13" x14ac:dyDescent="0.35">
      <c r="A81" s="8" t="s">
        <v>296</v>
      </c>
      <c r="B81" s="8" t="s">
        <v>641</v>
      </c>
      <c r="C81" s="15">
        <v>60</v>
      </c>
      <c r="D81" s="8">
        <v>10</v>
      </c>
      <c r="E81" s="23">
        <f>D81-VLOOKUP(B81,Roaming!C:E,3,FALSE)</f>
        <v>6</v>
      </c>
      <c r="F81" s="13" t="s">
        <v>642</v>
      </c>
      <c r="H81" s="8"/>
      <c r="I81" s="8" t="s">
        <v>643</v>
      </c>
      <c r="J81" s="15">
        <v>19</v>
      </c>
      <c r="K81" s="22">
        <v>4</v>
      </c>
      <c r="L81" s="23">
        <f>K81-VLOOKUP(I81,Roaming!C:E,3,FALSE)</f>
        <v>4</v>
      </c>
      <c r="M81" s="13"/>
    </row>
    <row r="82" spans="1:13" x14ac:dyDescent="0.35">
      <c r="A82" s="8" t="s">
        <v>343</v>
      </c>
      <c r="B82" s="8" t="s">
        <v>644</v>
      </c>
      <c r="C82" s="15">
        <v>60</v>
      </c>
      <c r="D82" s="8">
        <v>6</v>
      </c>
      <c r="E82" s="23">
        <f>D82-VLOOKUP(B82,Roaming!C:E,3,FALSE)</f>
        <v>4</v>
      </c>
      <c r="F82" s="13" t="s">
        <v>645</v>
      </c>
      <c r="H82" s="8" t="s">
        <v>229</v>
      </c>
      <c r="I82" s="8" t="s">
        <v>646</v>
      </c>
      <c r="J82" s="15">
        <v>87</v>
      </c>
      <c r="K82" s="22">
        <v>7</v>
      </c>
      <c r="L82" s="23">
        <f>K82-VLOOKUP(I82,Roaming!C:E,3,FALSE)</f>
        <v>7</v>
      </c>
      <c r="M82" s="13" t="s">
        <v>647</v>
      </c>
    </row>
    <row r="83" spans="1:13" x14ac:dyDescent="0.35">
      <c r="A83" s="8" t="s">
        <v>343</v>
      </c>
      <c r="B83" s="8" t="s">
        <v>648</v>
      </c>
      <c r="C83" s="15">
        <v>60</v>
      </c>
      <c r="D83" s="8">
        <v>3</v>
      </c>
      <c r="E83" s="23">
        <f>D83-VLOOKUP(B83,Roaming!C:E,3,FALSE)</f>
        <v>3</v>
      </c>
      <c r="F83" s="13" t="s">
        <v>649</v>
      </c>
      <c r="H83" s="8" t="s">
        <v>83</v>
      </c>
      <c r="I83" s="8" t="s">
        <v>650</v>
      </c>
      <c r="J83" s="15">
        <v>0</v>
      </c>
      <c r="K83" s="8">
        <v>3</v>
      </c>
      <c r="L83" s="23">
        <f>K83-VLOOKUP(I83,Roaming!C:E,3,FALSE)</f>
        <v>3</v>
      </c>
      <c r="M83" s="13" t="s">
        <v>651</v>
      </c>
    </row>
    <row r="84" spans="1:13" x14ac:dyDescent="0.35">
      <c r="A84" s="8" t="s">
        <v>526</v>
      </c>
      <c r="B84" s="8" t="s">
        <v>652</v>
      </c>
      <c r="C84" s="15">
        <v>99</v>
      </c>
      <c r="D84" s="8">
        <v>8</v>
      </c>
      <c r="E84" s="23">
        <f>D84-VLOOKUP(B84,Roaming!C:E,3,FALSE)</f>
        <v>8</v>
      </c>
      <c r="F84" s="13" t="s">
        <v>653</v>
      </c>
      <c r="H84" s="8"/>
      <c r="I84" s="8" t="s">
        <v>654</v>
      </c>
      <c r="J84" s="15"/>
      <c r="K84" s="8">
        <v>2</v>
      </c>
      <c r="L84" s="23"/>
      <c r="M84" s="13"/>
    </row>
    <row r="85" spans="1:13" x14ac:dyDescent="0.35">
      <c r="A85" s="8" t="s">
        <v>526</v>
      </c>
      <c r="B85" s="33" t="s">
        <v>655</v>
      </c>
      <c r="C85" s="15">
        <v>69</v>
      </c>
      <c r="D85" s="8">
        <v>2</v>
      </c>
      <c r="E85" s="23">
        <f>D85-VLOOKUP(B85,Roaming!C:E,3,FALSE)</f>
        <v>2</v>
      </c>
      <c r="F85" s="13" t="s">
        <v>656</v>
      </c>
      <c r="H85" s="8" t="s">
        <v>209</v>
      </c>
      <c r="I85" s="8" t="s">
        <v>657</v>
      </c>
      <c r="J85" s="15">
        <v>0</v>
      </c>
      <c r="K85" s="8">
        <v>4</v>
      </c>
      <c r="L85" s="23">
        <f>K85-VLOOKUP(I85,Roaming!C:E,3,FALSE)</f>
        <v>4</v>
      </c>
      <c r="M85" s="13" t="s">
        <v>577</v>
      </c>
    </row>
    <row r="86" spans="1:13" x14ac:dyDescent="0.35">
      <c r="A86" s="8" t="s">
        <v>526</v>
      </c>
      <c r="B86" s="33" t="s">
        <v>658</v>
      </c>
      <c r="C86" s="15">
        <v>99</v>
      </c>
      <c r="D86" s="8">
        <v>6</v>
      </c>
      <c r="E86" s="23">
        <f>D86-VLOOKUP(B86,Roaming!C:E,3,FALSE)</f>
        <v>5</v>
      </c>
      <c r="F86" s="13" t="s">
        <v>659</v>
      </c>
      <c r="H86" s="8"/>
      <c r="I86" s="8" t="s">
        <v>660</v>
      </c>
      <c r="J86" s="15">
        <v>0</v>
      </c>
      <c r="K86" s="8">
        <v>2</v>
      </c>
      <c r="L86" s="23">
        <f>K86-VLOOKUP(I86,Roaming!C:E,3,FALSE)</f>
        <v>2</v>
      </c>
      <c r="M86" s="13"/>
    </row>
    <row r="87" spans="1:13" x14ac:dyDescent="0.35">
      <c r="A87" s="29" t="s">
        <v>526</v>
      </c>
      <c r="B87" s="34" t="s">
        <v>661</v>
      </c>
      <c r="C87" s="28">
        <v>69</v>
      </c>
      <c r="D87" s="29">
        <v>2</v>
      </c>
      <c r="E87" s="30">
        <f>D87-VLOOKUP(B87,Roaming!C:E,3,FALSE)</f>
        <v>2</v>
      </c>
      <c r="F87" s="13" t="s">
        <v>662</v>
      </c>
      <c r="H87" s="8"/>
      <c r="I87" s="8" t="s">
        <v>663</v>
      </c>
      <c r="J87" s="15">
        <v>0</v>
      </c>
      <c r="K87" s="8">
        <v>2</v>
      </c>
      <c r="L87" s="23">
        <f>K87-VLOOKUP(I87,Roaming!C:E,3,FALSE)</f>
        <v>2</v>
      </c>
      <c r="M87" s="13"/>
    </row>
    <row r="88" spans="1:13" x14ac:dyDescent="0.35">
      <c r="A88" s="29" t="s">
        <v>526</v>
      </c>
      <c r="B88" s="34" t="s">
        <v>664</v>
      </c>
      <c r="C88" s="28">
        <v>109</v>
      </c>
      <c r="D88" s="29">
        <v>2</v>
      </c>
      <c r="E88" s="30">
        <f>D88-VLOOKUP(B88,Roaming!C:E,3,FALSE)</f>
        <v>2</v>
      </c>
      <c r="F88" s="13" t="s">
        <v>665</v>
      </c>
      <c r="H88" s="8"/>
      <c r="I88" s="8" t="s">
        <v>666</v>
      </c>
      <c r="J88" s="15">
        <v>0</v>
      </c>
      <c r="K88" s="8">
        <v>1</v>
      </c>
      <c r="L88" s="23">
        <f>K88-VLOOKUP(I88,Roaming!C:E,3,FALSE)</f>
        <v>1</v>
      </c>
      <c r="M88" s="13"/>
    </row>
    <row r="89" spans="1:13" x14ac:dyDescent="0.35">
      <c r="A89" s="29" t="s">
        <v>526</v>
      </c>
      <c r="B89" s="34" t="s">
        <v>667</v>
      </c>
      <c r="C89" s="28">
        <v>109</v>
      </c>
      <c r="D89" s="29">
        <v>2</v>
      </c>
      <c r="E89" s="30">
        <f>D89-VLOOKUP(B89,Roaming!C:E,3,FALSE)</f>
        <v>2</v>
      </c>
      <c r="F89" s="13" t="s">
        <v>668</v>
      </c>
      <c r="H89" s="8" t="s">
        <v>83</v>
      </c>
      <c r="I89" s="8" t="s">
        <v>669</v>
      </c>
      <c r="J89" s="22"/>
      <c r="K89" s="8">
        <v>1</v>
      </c>
      <c r="L89" s="23">
        <f>K89-VLOOKUP(I89,Roaming!C:E,3,FALSE)</f>
        <v>1</v>
      </c>
      <c r="M89" s="13" t="s">
        <v>670</v>
      </c>
    </row>
    <row r="90" spans="1:13" x14ac:dyDescent="0.35">
      <c r="H90" s="8" t="s">
        <v>229</v>
      </c>
      <c r="I90" s="8" t="s">
        <v>671</v>
      </c>
      <c r="J90" s="22"/>
      <c r="K90" s="8">
        <v>4</v>
      </c>
      <c r="L90" s="23">
        <f>K90-VLOOKUP(I90,Roaming!C:E,3,FALSE)</f>
        <v>4</v>
      </c>
      <c r="M90" s="13" t="s">
        <v>672</v>
      </c>
    </row>
    <row r="91" spans="1:13" x14ac:dyDescent="0.35">
      <c r="H91" s="8" t="s">
        <v>83</v>
      </c>
      <c r="I91" s="8" t="s">
        <v>673</v>
      </c>
      <c r="J91" s="15">
        <v>0</v>
      </c>
      <c r="K91" s="8">
        <v>3</v>
      </c>
      <c r="L91" s="23">
        <f>K91-VLOOKUP(I91,Roaming!C:E,3,FALSE)</f>
        <v>3</v>
      </c>
      <c r="M91" s="13" t="s">
        <v>651</v>
      </c>
    </row>
    <row r="92" spans="1:13" x14ac:dyDescent="0.35">
      <c r="H92" s="8" t="s">
        <v>83</v>
      </c>
      <c r="I92" s="8" t="s">
        <v>674</v>
      </c>
      <c r="J92" s="15">
        <v>0</v>
      </c>
      <c r="K92" s="8">
        <v>4</v>
      </c>
      <c r="L92" s="23">
        <f>K92-VLOOKUP(I92,Roaming!C:E,3,FALSE)</f>
        <v>3</v>
      </c>
      <c r="M92" s="13" t="s">
        <v>651</v>
      </c>
    </row>
    <row r="93" spans="1:13" x14ac:dyDescent="0.35">
      <c r="H93" s="8"/>
      <c r="I93" s="8" t="s">
        <v>675</v>
      </c>
      <c r="J93" s="15"/>
      <c r="K93" s="8">
        <v>4</v>
      </c>
      <c r="L93" s="23">
        <f>K93-VLOOKUP(I93,Roaming!C:E,3,FALSE)</f>
        <v>4</v>
      </c>
      <c r="M93" s="10"/>
    </row>
    <row r="94" spans="1:13" x14ac:dyDescent="0.35">
      <c r="H94" s="8"/>
      <c r="I94" s="8" t="s">
        <v>676</v>
      </c>
      <c r="J94" s="15">
        <v>21.7</v>
      </c>
      <c r="K94" s="8">
        <v>2</v>
      </c>
      <c r="L94" s="23">
        <f>K94-VLOOKUP(I94,Roaming!C:E,3,FALSE)</f>
        <v>2</v>
      </c>
      <c r="M94" s="10"/>
    </row>
  </sheetData>
  <mergeCells count="4">
    <mergeCell ref="O1:T1"/>
    <mergeCell ref="A1:F1"/>
    <mergeCell ref="H1:M1"/>
    <mergeCell ref="O10:R10"/>
  </mergeCells>
  <conditionalFormatting sqref="E3:E89">
    <cfRule type="cellIs" dxfId="26" priority="12" operator="equal">
      <formula>1</formula>
    </cfRule>
  </conditionalFormatting>
  <conditionalFormatting sqref="L3:L50 E3:E89 L54:L94">
    <cfRule type="cellIs" dxfId="25" priority="13" operator="lessThanOrEqual">
      <formula>0</formula>
    </cfRule>
  </conditionalFormatting>
  <pageMargins left="0.25" right="0.25" top="0.75" bottom="0.75" header="0.3" footer="0.3"/>
  <pageSetup paperSize="9" scale="10" orientation="landscape" r:id="rId1"/>
  <headerFooter>
    <oddFooter>&amp;R&amp;"Calibri"&amp;11&amp;K000000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7D43A-7C47-4147-8B59-6E80E16ECFD8}">
  <sheetPr codeName="Sheet8"/>
  <dimension ref="A1:G911"/>
  <sheetViews>
    <sheetView zoomScale="67" workbookViewId="0">
      <selection activeCell="H22" sqref="H22"/>
    </sheetView>
  </sheetViews>
  <sheetFormatPr defaultRowHeight="14.5" outlineLevelRow="2" x14ac:dyDescent="0.35"/>
  <cols>
    <col min="1" max="1" width="23.7265625" bestFit="1" customWidth="1"/>
    <col min="2" max="2" width="28.08984375" bestFit="1" customWidth="1"/>
    <col min="3" max="3" width="12.6328125" bestFit="1" customWidth="1"/>
    <col min="4" max="4" width="30.81640625" bestFit="1" customWidth="1"/>
    <col min="5" max="5" width="18" bestFit="1" customWidth="1"/>
    <col min="6" max="6" width="19.90625" bestFit="1" customWidth="1"/>
    <col min="7" max="7" width="17.36328125" bestFit="1" customWidth="1"/>
  </cols>
  <sheetData>
    <row r="1" spans="1:7" ht="15.5" x14ac:dyDescent="0.35">
      <c r="A1" s="51" t="s">
        <v>37</v>
      </c>
      <c r="B1" s="51" t="s">
        <v>742</v>
      </c>
      <c r="C1" s="51" t="s">
        <v>3</v>
      </c>
      <c r="D1" s="51" t="s">
        <v>810</v>
      </c>
      <c r="E1" s="51" t="s">
        <v>811</v>
      </c>
      <c r="F1" s="51" t="s">
        <v>813</v>
      </c>
      <c r="G1" s="51" t="s">
        <v>812</v>
      </c>
    </row>
    <row r="2" spans="1:7" x14ac:dyDescent="0.35">
      <c r="A2" s="50" t="s">
        <v>364</v>
      </c>
      <c r="B2" s="47" t="s">
        <v>2451</v>
      </c>
      <c r="C2" s="47"/>
      <c r="D2" s="48" t="s">
        <v>2451</v>
      </c>
      <c r="E2" s="47" t="s">
        <v>2451</v>
      </c>
      <c r="F2" s="47" t="s">
        <v>2451</v>
      </c>
      <c r="G2" s="49" t="s">
        <v>2451</v>
      </c>
    </row>
    <row r="3" spans="1:7" outlineLevel="1" x14ac:dyDescent="0.35">
      <c r="A3" s="8" t="s">
        <v>367</v>
      </c>
      <c r="B3" s="8" t="s">
        <v>24</v>
      </c>
      <c r="C3" s="8">
        <v>5</v>
      </c>
      <c r="D3" s="8" t="s">
        <v>2451</v>
      </c>
      <c r="E3" s="8" t="s">
        <v>2451</v>
      </c>
      <c r="F3" s="8" t="s">
        <v>2451</v>
      </c>
      <c r="G3" s="8" t="s">
        <v>2451</v>
      </c>
    </row>
    <row r="4" spans="1:7" outlineLevel="2" x14ac:dyDescent="0.35">
      <c r="A4" s="8" t="s">
        <v>2451</v>
      </c>
      <c r="B4" s="8" t="s">
        <v>2451</v>
      </c>
      <c r="C4" s="8"/>
      <c r="D4" s="8" t="s">
        <v>2119</v>
      </c>
      <c r="E4" s="8" t="s">
        <v>2451</v>
      </c>
      <c r="F4" s="8" t="s">
        <v>2451</v>
      </c>
      <c r="G4" s="8" t="s">
        <v>2451</v>
      </c>
    </row>
    <row r="5" spans="1:7" outlineLevel="2" x14ac:dyDescent="0.35">
      <c r="A5" s="8" t="s">
        <v>2451</v>
      </c>
      <c r="B5" s="8" t="s">
        <v>2451</v>
      </c>
      <c r="C5" s="8"/>
      <c r="D5" s="8" t="s">
        <v>2120</v>
      </c>
      <c r="E5" s="8" t="s">
        <v>2451</v>
      </c>
      <c r="F5" s="8" t="s">
        <v>2451</v>
      </c>
      <c r="G5" s="8" t="s">
        <v>2451</v>
      </c>
    </row>
    <row r="6" spans="1:7" outlineLevel="2" x14ac:dyDescent="0.35">
      <c r="A6" s="8" t="s">
        <v>2451</v>
      </c>
      <c r="B6" s="8" t="s">
        <v>2451</v>
      </c>
      <c r="C6" s="8"/>
      <c r="D6" s="8" t="s">
        <v>2121</v>
      </c>
      <c r="E6" s="8" t="s">
        <v>2451</v>
      </c>
      <c r="F6" s="8" t="s">
        <v>2451</v>
      </c>
      <c r="G6" s="8" t="s">
        <v>2451</v>
      </c>
    </row>
    <row r="7" spans="1:7" outlineLevel="2" x14ac:dyDescent="0.35">
      <c r="A7" s="8" t="s">
        <v>2451</v>
      </c>
      <c r="B7" s="8" t="s">
        <v>2451</v>
      </c>
      <c r="C7" s="8"/>
      <c r="D7" s="8" t="s">
        <v>2122</v>
      </c>
      <c r="E7" s="8" t="s">
        <v>2451</v>
      </c>
      <c r="F7" s="8" t="s">
        <v>2451</v>
      </c>
      <c r="G7" s="8" t="s">
        <v>2451</v>
      </c>
    </row>
    <row r="8" spans="1:7" outlineLevel="2" x14ac:dyDescent="0.35">
      <c r="A8" s="8" t="s">
        <v>2451</v>
      </c>
      <c r="B8" s="8" t="s">
        <v>2451</v>
      </c>
      <c r="C8" s="8"/>
      <c r="D8" s="8" t="s">
        <v>2123</v>
      </c>
      <c r="E8" s="8" t="s">
        <v>2451</v>
      </c>
      <c r="F8" s="8" t="s">
        <v>2451</v>
      </c>
      <c r="G8" s="8" t="s">
        <v>2451</v>
      </c>
    </row>
    <row r="9" spans="1:7" outlineLevel="1" x14ac:dyDescent="0.35">
      <c r="A9" s="8" t="s">
        <v>66</v>
      </c>
      <c r="B9" s="8" t="s">
        <v>372</v>
      </c>
      <c r="C9" s="8">
        <v>4</v>
      </c>
      <c r="D9" s="8" t="s">
        <v>2451</v>
      </c>
      <c r="E9" s="8" t="s">
        <v>2451</v>
      </c>
      <c r="F9" s="8" t="s">
        <v>2451</v>
      </c>
      <c r="G9" s="8" t="s">
        <v>2451</v>
      </c>
    </row>
    <row r="10" spans="1:7" outlineLevel="2" x14ac:dyDescent="0.35">
      <c r="A10" s="8" t="s">
        <v>2451</v>
      </c>
      <c r="B10" s="8" t="s">
        <v>2451</v>
      </c>
      <c r="C10" s="8"/>
      <c r="D10" s="8" t="s">
        <v>2115</v>
      </c>
      <c r="E10" s="8" t="s">
        <v>2451</v>
      </c>
      <c r="F10" s="8" t="s">
        <v>2451</v>
      </c>
      <c r="G10" s="8" t="s">
        <v>2451</v>
      </c>
    </row>
    <row r="11" spans="1:7" outlineLevel="2" x14ac:dyDescent="0.35">
      <c r="A11" s="8" t="s">
        <v>2451</v>
      </c>
      <c r="B11" s="8" t="s">
        <v>2451</v>
      </c>
      <c r="C11" s="8"/>
      <c r="D11" s="8" t="s">
        <v>2116</v>
      </c>
      <c r="E11" s="8" t="s">
        <v>2451</v>
      </c>
      <c r="F11" s="8" t="s">
        <v>2451</v>
      </c>
      <c r="G11" s="8" t="s">
        <v>2451</v>
      </c>
    </row>
    <row r="12" spans="1:7" outlineLevel="2" x14ac:dyDescent="0.35">
      <c r="A12" s="8" t="s">
        <v>2451</v>
      </c>
      <c r="B12" s="8" t="s">
        <v>2451</v>
      </c>
      <c r="C12" s="8"/>
      <c r="D12" s="8" t="s">
        <v>2117</v>
      </c>
      <c r="E12" s="8" t="s">
        <v>2451</v>
      </c>
      <c r="F12" s="8" t="s">
        <v>2451</v>
      </c>
      <c r="G12" s="8" t="s">
        <v>2451</v>
      </c>
    </row>
    <row r="13" spans="1:7" outlineLevel="2" x14ac:dyDescent="0.35">
      <c r="A13" s="8" t="s">
        <v>2451</v>
      </c>
      <c r="B13" s="8" t="s">
        <v>2451</v>
      </c>
      <c r="C13" s="8"/>
      <c r="D13" s="8" t="s">
        <v>2118</v>
      </c>
      <c r="E13" s="8" t="s">
        <v>2451</v>
      </c>
      <c r="F13" s="8" t="s">
        <v>2451</v>
      </c>
      <c r="G13" s="8" t="s">
        <v>2451</v>
      </c>
    </row>
    <row r="14" spans="1:7" outlineLevel="1" x14ac:dyDescent="0.35">
      <c r="A14" s="8" t="s">
        <v>66</v>
      </c>
      <c r="B14" s="8" t="s">
        <v>376</v>
      </c>
      <c r="C14" s="8">
        <v>5</v>
      </c>
      <c r="D14" s="8" t="s">
        <v>2451</v>
      </c>
      <c r="E14" s="8" t="s">
        <v>2451</v>
      </c>
      <c r="F14" s="8" t="s">
        <v>2451</v>
      </c>
      <c r="G14" s="8" t="s">
        <v>2451</v>
      </c>
    </row>
    <row r="15" spans="1:7" outlineLevel="2" x14ac:dyDescent="0.35">
      <c r="A15" s="8" t="s">
        <v>2451</v>
      </c>
      <c r="B15" s="8" t="s">
        <v>2451</v>
      </c>
      <c r="C15" s="8"/>
      <c r="D15" s="8" t="s">
        <v>2110</v>
      </c>
      <c r="E15" s="8" t="s">
        <v>2451</v>
      </c>
      <c r="F15" s="8" t="s">
        <v>2451</v>
      </c>
      <c r="G15" s="8" t="s">
        <v>2451</v>
      </c>
    </row>
    <row r="16" spans="1:7" outlineLevel="2" x14ac:dyDescent="0.35">
      <c r="A16" s="8" t="s">
        <v>2451</v>
      </c>
      <c r="B16" s="8" t="s">
        <v>2451</v>
      </c>
      <c r="C16" s="8"/>
      <c r="D16" s="8" t="s">
        <v>2111</v>
      </c>
      <c r="E16" s="8" t="s">
        <v>2451</v>
      </c>
      <c r="F16" s="8" t="s">
        <v>2451</v>
      </c>
      <c r="G16" s="8" t="s">
        <v>2451</v>
      </c>
    </row>
    <row r="17" spans="1:7" outlineLevel="2" x14ac:dyDescent="0.35">
      <c r="A17" s="8" t="s">
        <v>2451</v>
      </c>
      <c r="B17" s="8" t="s">
        <v>2451</v>
      </c>
      <c r="C17" s="8"/>
      <c r="D17" s="8" t="s">
        <v>2112</v>
      </c>
      <c r="E17" s="8" t="s">
        <v>2451</v>
      </c>
      <c r="F17" s="8" t="s">
        <v>2451</v>
      </c>
      <c r="G17" s="8" t="s">
        <v>2451</v>
      </c>
    </row>
    <row r="18" spans="1:7" outlineLevel="2" x14ac:dyDescent="0.35">
      <c r="A18" s="8" t="s">
        <v>2451</v>
      </c>
      <c r="B18" s="8" t="s">
        <v>2451</v>
      </c>
      <c r="C18" s="8"/>
      <c r="D18" s="8" t="s">
        <v>2113</v>
      </c>
      <c r="E18" s="8" t="s">
        <v>2451</v>
      </c>
      <c r="F18" s="8" t="s">
        <v>2451</v>
      </c>
      <c r="G18" s="8" t="s">
        <v>2451</v>
      </c>
    </row>
    <row r="19" spans="1:7" outlineLevel="2" x14ac:dyDescent="0.35">
      <c r="A19" s="8" t="s">
        <v>2451</v>
      </c>
      <c r="B19" s="8" t="s">
        <v>2451</v>
      </c>
      <c r="C19" s="8"/>
      <c r="D19" s="8" t="s">
        <v>2114</v>
      </c>
      <c r="E19" s="8" t="s">
        <v>2451</v>
      </c>
      <c r="F19" s="8" t="s">
        <v>2451</v>
      </c>
      <c r="G19" s="8" t="s">
        <v>2451</v>
      </c>
    </row>
    <row r="20" spans="1:7" outlineLevel="1" x14ac:dyDescent="0.35">
      <c r="A20" s="8" t="s">
        <v>72</v>
      </c>
      <c r="B20" s="8" t="s">
        <v>381</v>
      </c>
      <c r="C20" s="8">
        <v>10</v>
      </c>
      <c r="D20" s="8" t="s">
        <v>2451</v>
      </c>
      <c r="E20" s="8" t="s">
        <v>2451</v>
      </c>
      <c r="F20" s="8" t="s">
        <v>2451</v>
      </c>
      <c r="G20" s="8" t="s">
        <v>2451</v>
      </c>
    </row>
    <row r="21" spans="1:7" outlineLevel="2" x14ac:dyDescent="0.35">
      <c r="A21" s="8" t="s">
        <v>2451</v>
      </c>
      <c r="B21" s="8" t="s">
        <v>2451</v>
      </c>
      <c r="C21" s="8"/>
      <c r="D21" s="8" t="s">
        <v>2100</v>
      </c>
      <c r="E21" s="8" t="s">
        <v>2451</v>
      </c>
      <c r="F21" s="8" t="s">
        <v>2451</v>
      </c>
      <c r="G21" s="8" t="s">
        <v>2451</v>
      </c>
    </row>
    <row r="22" spans="1:7" outlineLevel="2" x14ac:dyDescent="0.35">
      <c r="A22" s="8" t="s">
        <v>2451</v>
      </c>
      <c r="B22" s="8" t="s">
        <v>2451</v>
      </c>
      <c r="C22" s="8"/>
      <c r="D22" s="8" t="s">
        <v>2101</v>
      </c>
      <c r="E22" s="8" t="s">
        <v>2451</v>
      </c>
      <c r="F22" s="8" t="s">
        <v>2451</v>
      </c>
      <c r="G22" s="8" t="s">
        <v>2451</v>
      </c>
    </row>
    <row r="23" spans="1:7" outlineLevel="2" x14ac:dyDescent="0.35">
      <c r="A23" s="8" t="s">
        <v>2451</v>
      </c>
      <c r="B23" s="8" t="s">
        <v>2451</v>
      </c>
      <c r="C23" s="8"/>
      <c r="D23" s="8" t="s">
        <v>2102</v>
      </c>
      <c r="E23" s="8" t="s">
        <v>2451</v>
      </c>
      <c r="F23" s="8" t="s">
        <v>2451</v>
      </c>
      <c r="G23" s="8" t="s">
        <v>2451</v>
      </c>
    </row>
    <row r="24" spans="1:7" outlineLevel="2" x14ac:dyDescent="0.35">
      <c r="A24" s="8" t="s">
        <v>2451</v>
      </c>
      <c r="B24" s="8" t="s">
        <v>2451</v>
      </c>
      <c r="C24" s="8"/>
      <c r="D24" s="8" t="s">
        <v>2103</v>
      </c>
      <c r="E24" s="8" t="s">
        <v>2451</v>
      </c>
      <c r="F24" s="8" t="s">
        <v>2451</v>
      </c>
      <c r="G24" s="8" t="s">
        <v>2451</v>
      </c>
    </row>
    <row r="25" spans="1:7" outlineLevel="2" x14ac:dyDescent="0.35">
      <c r="A25" s="8" t="s">
        <v>2451</v>
      </c>
      <c r="B25" s="8" t="s">
        <v>2451</v>
      </c>
      <c r="C25" s="8"/>
      <c r="D25" s="8" t="s">
        <v>2104</v>
      </c>
      <c r="E25" s="8" t="s">
        <v>2451</v>
      </c>
      <c r="F25" s="8" t="s">
        <v>2451</v>
      </c>
      <c r="G25" s="8" t="s">
        <v>2451</v>
      </c>
    </row>
    <row r="26" spans="1:7" outlineLevel="2" x14ac:dyDescent="0.35">
      <c r="A26" s="8" t="s">
        <v>2451</v>
      </c>
      <c r="B26" s="8" t="s">
        <v>2451</v>
      </c>
      <c r="C26" s="8"/>
      <c r="D26" s="8" t="s">
        <v>2105</v>
      </c>
      <c r="E26" s="8" t="s">
        <v>2451</v>
      </c>
      <c r="F26" s="8" t="s">
        <v>2451</v>
      </c>
      <c r="G26" s="8" t="s">
        <v>2451</v>
      </c>
    </row>
    <row r="27" spans="1:7" outlineLevel="2" x14ac:dyDescent="0.35">
      <c r="A27" s="8" t="s">
        <v>2451</v>
      </c>
      <c r="B27" s="8" t="s">
        <v>2451</v>
      </c>
      <c r="C27" s="8"/>
      <c r="D27" s="8" t="s">
        <v>2106</v>
      </c>
      <c r="E27" s="8" t="s">
        <v>2451</v>
      </c>
      <c r="F27" s="8" t="s">
        <v>2451</v>
      </c>
      <c r="G27" s="8" t="s">
        <v>2451</v>
      </c>
    </row>
    <row r="28" spans="1:7" outlineLevel="2" x14ac:dyDescent="0.35">
      <c r="A28" s="8" t="s">
        <v>2451</v>
      </c>
      <c r="B28" s="8" t="s">
        <v>2451</v>
      </c>
      <c r="C28" s="8"/>
      <c r="D28" s="8" t="s">
        <v>2107</v>
      </c>
      <c r="E28" s="8" t="s">
        <v>2451</v>
      </c>
      <c r="F28" s="8" t="s">
        <v>2451</v>
      </c>
      <c r="G28" s="8" t="s">
        <v>2451</v>
      </c>
    </row>
    <row r="29" spans="1:7" outlineLevel="2" x14ac:dyDescent="0.35">
      <c r="A29" s="8" t="s">
        <v>2451</v>
      </c>
      <c r="B29" s="8" t="s">
        <v>2451</v>
      </c>
      <c r="C29" s="8"/>
      <c r="D29" s="8" t="s">
        <v>2108</v>
      </c>
      <c r="E29" s="8" t="s">
        <v>2451</v>
      </c>
      <c r="F29" s="8" t="s">
        <v>2451</v>
      </c>
      <c r="G29" s="8" t="s">
        <v>2451</v>
      </c>
    </row>
    <row r="30" spans="1:7" outlineLevel="2" x14ac:dyDescent="0.35">
      <c r="A30" s="8" t="s">
        <v>2451</v>
      </c>
      <c r="B30" s="8" t="s">
        <v>2451</v>
      </c>
      <c r="C30" s="8"/>
      <c r="D30" s="8" t="s">
        <v>2109</v>
      </c>
      <c r="E30" s="8" t="s">
        <v>2451</v>
      </c>
      <c r="F30" s="8" t="s">
        <v>2451</v>
      </c>
      <c r="G30" s="8" t="s">
        <v>2451</v>
      </c>
    </row>
    <row r="31" spans="1:7" outlineLevel="1" x14ac:dyDescent="0.35">
      <c r="A31" s="8" t="s">
        <v>83</v>
      </c>
      <c r="B31" s="8" t="s">
        <v>387</v>
      </c>
      <c r="C31" s="8">
        <v>6</v>
      </c>
      <c r="D31" s="8" t="s">
        <v>2451</v>
      </c>
      <c r="E31" s="8" t="s">
        <v>2451</v>
      </c>
      <c r="F31" s="8" t="s">
        <v>2451</v>
      </c>
      <c r="G31" s="8" t="s">
        <v>2451</v>
      </c>
    </row>
    <row r="32" spans="1:7" outlineLevel="2" x14ac:dyDescent="0.35">
      <c r="A32" s="8" t="s">
        <v>2451</v>
      </c>
      <c r="B32" s="8" t="s">
        <v>2451</v>
      </c>
      <c r="C32" s="8"/>
      <c r="D32" s="8" t="s">
        <v>2094</v>
      </c>
      <c r="E32" s="8" t="s">
        <v>2451</v>
      </c>
      <c r="F32" s="8" t="s">
        <v>2451</v>
      </c>
      <c r="G32" s="8" t="s">
        <v>2451</v>
      </c>
    </row>
    <row r="33" spans="1:7" outlineLevel="2" x14ac:dyDescent="0.35">
      <c r="A33" s="8" t="s">
        <v>2451</v>
      </c>
      <c r="B33" s="8" t="s">
        <v>2451</v>
      </c>
      <c r="C33" s="8"/>
      <c r="D33" s="8" t="s">
        <v>2095</v>
      </c>
      <c r="E33" s="8" t="s">
        <v>2451</v>
      </c>
      <c r="F33" s="8" t="s">
        <v>2451</v>
      </c>
      <c r="G33" s="8" t="s">
        <v>2451</v>
      </c>
    </row>
    <row r="34" spans="1:7" outlineLevel="2" x14ac:dyDescent="0.35">
      <c r="A34" s="8" t="s">
        <v>2451</v>
      </c>
      <c r="B34" s="8" t="s">
        <v>2451</v>
      </c>
      <c r="C34" s="8"/>
      <c r="D34" s="8" t="s">
        <v>2096</v>
      </c>
      <c r="E34" s="8" t="s">
        <v>2451</v>
      </c>
      <c r="F34" s="8" t="s">
        <v>2451</v>
      </c>
      <c r="G34" s="8" t="s">
        <v>2451</v>
      </c>
    </row>
    <row r="35" spans="1:7" outlineLevel="2" x14ac:dyDescent="0.35">
      <c r="A35" s="8" t="s">
        <v>2451</v>
      </c>
      <c r="B35" s="8" t="s">
        <v>2451</v>
      </c>
      <c r="C35" s="8"/>
      <c r="D35" s="8" t="s">
        <v>2097</v>
      </c>
      <c r="E35" s="8" t="s">
        <v>2451</v>
      </c>
      <c r="F35" s="8" t="s">
        <v>2451</v>
      </c>
      <c r="G35" s="8" t="s">
        <v>2451</v>
      </c>
    </row>
    <row r="36" spans="1:7" outlineLevel="2" x14ac:dyDescent="0.35">
      <c r="A36" s="8" t="s">
        <v>2451</v>
      </c>
      <c r="B36" s="8" t="s">
        <v>2451</v>
      </c>
      <c r="C36" s="8"/>
      <c r="D36" s="8" t="s">
        <v>2098</v>
      </c>
      <c r="E36" s="8" t="s">
        <v>2451</v>
      </c>
      <c r="F36" s="8" t="s">
        <v>2451</v>
      </c>
      <c r="G36" s="8" t="s">
        <v>2451</v>
      </c>
    </row>
    <row r="37" spans="1:7" outlineLevel="2" x14ac:dyDescent="0.35">
      <c r="A37" s="8" t="s">
        <v>2451</v>
      </c>
      <c r="B37" s="8" t="s">
        <v>2451</v>
      </c>
      <c r="C37" s="8"/>
      <c r="D37" s="8" t="s">
        <v>2099</v>
      </c>
      <c r="E37" s="8" t="s">
        <v>2451</v>
      </c>
      <c r="F37" s="8" t="s">
        <v>2451</v>
      </c>
      <c r="G37" s="8" t="s">
        <v>2451</v>
      </c>
    </row>
    <row r="38" spans="1:7" outlineLevel="1" x14ac:dyDescent="0.35">
      <c r="A38" s="8" t="s">
        <v>83</v>
      </c>
      <c r="B38" s="8" t="s">
        <v>393</v>
      </c>
      <c r="C38" s="8">
        <v>14</v>
      </c>
      <c r="D38" s="8" t="s">
        <v>2451</v>
      </c>
      <c r="E38" s="8" t="s">
        <v>2451</v>
      </c>
      <c r="F38" s="8" t="s">
        <v>2451</v>
      </c>
      <c r="G38" s="8" t="s">
        <v>2451</v>
      </c>
    </row>
    <row r="39" spans="1:7" outlineLevel="2" x14ac:dyDescent="0.35">
      <c r="A39" s="8" t="s">
        <v>2451</v>
      </c>
      <c r="B39" s="8" t="s">
        <v>2451</v>
      </c>
      <c r="C39" s="8"/>
      <c r="D39" s="8" t="s">
        <v>2080</v>
      </c>
      <c r="E39" s="8" t="s">
        <v>2451</v>
      </c>
      <c r="F39" s="8" t="s">
        <v>2451</v>
      </c>
      <c r="G39" s="8" t="s">
        <v>2451</v>
      </c>
    </row>
    <row r="40" spans="1:7" outlineLevel="2" x14ac:dyDescent="0.35">
      <c r="A40" s="8" t="s">
        <v>2451</v>
      </c>
      <c r="B40" s="8" t="s">
        <v>2451</v>
      </c>
      <c r="C40" s="8"/>
      <c r="D40" s="8" t="s">
        <v>2081</v>
      </c>
      <c r="E40" s="8" t="s">
        <v>2451</v>
      </c>
      <c r="F40" s="8" t="s">
        <v>2451</v>
      </c>
      <c r="G40" s="8" t="s">
        <v>2451</v>
      </c>
    </row>
    <row r="41" spans="1:7" outlineLevel="2" x14ac:dyDescent="0.35">
      <c r="A41" s="8" t="s">
        <v>2451</v>
      </c>
      <c r="B41" s="8" t="s">
        <v>2451</v>
      </c>
      <c r="C41" s="8"/>
      <c r="D41" s="8" t="s">
        <v>2082</v>
      </c>
      <c r="E41" s="8" t="s">
        <v>2451</v>
      </c>
      <c r="F41" s="8" t="s">
        <v>2451</v>
      </c>
      <c r="G41" s="8" t="s">
        <v>2451</v>
      </c>
    </row>
    <row r="42" spans="1:7" outlineLevel="2" x14ac:dyDescent="0.35">
      <c r="A42" s="8" t="s">
        <v>2451</v>
      </c>
      <c r="B42" s="8" t="s">
        <v>2451</v>
      </c>
      <c r="C42" s="8"/>
      <c r="D42" s="8" t="s">
        <v>2083</v>
      </c>
      <c r="E42" s="8" t="s">
        <v>2451</v>
      </c>
      <c r="F42" s="8" t="s">
        <v>2451</v>
      </c>
      <c r="G42" s="8" t="s">
        <v>2451</v>
      </c>
    </row>
    <row r="43" spans="1:7" outlineLevel="2" x14ac:dyDescent="0.35">
      <c r="A43" s="8" t="s">
        <v>2451</v>
      </c>
      <c r="B43" s="8" t="s">
        <v>2451</v>
      </c>
      <c r="C43" s="8"/>
      <c r="D43" s="8" t="s">
        <v>2084</v>
      </c>
      <c r="E43" s="8" t="s">
        <v>2451</v>
      </c>
      <c r="F43" s="8" t="s">
        <v>2451</v>
      </c>
      <c r="G43" s="8" t="s">
        <v>2451</v>
      </c>
    </row>
    <row r="44" spans="1:7" outlineLevel="2" x14ac:dyDescent="0.35">
      <c r="A44" s="8" t="s">
        <v>2451</v>
      </c>
      <c r="B44" s="8" t="s">
        <v>2451</v>
      </c>
      <c r="C44" s="8"/>
      <c r="D44" s="8" t="s">
        <v>2085</v>
      </c>
      <c r="E44" s="8" t="s">
        <v>2451</v>
      </c>
      <c r="F44" s="8" t="s">
        <v>2451</v>
      </c>
      <c r="G44" s="8" t="s">
        <v>2451</v>
      </c>
    </row>
    <row r="45" spans="1:7" outlineLevel="2" x14ac:dyDescent="0.35">
      <c r="A45" s="8" t="s">
        <v>2451</v>
      </c>
      <c r="B45" s="8" t="s">
        <v>2451</v>
      </c>
      <c r="C45" s="8"/>
      <c r="D45" s="8" t="s">
        <v>2086</v>
      </c>
      <c r="E45" s="8" t="s">
        <v>2451</v>
      </c>
      <c r="F45" s="8" t="s">
        <v>2451</v>
      </c>
      <c r="G45" s="8" t="s">
        <v>2451</v>
      </c>
    </row>
    <row r="46" spans="1:7" outlineLevel="2" x14ac:dyDescent="0.35">
      <c r="A46" s="8" t="s">
        <v>2451</v>
      </c>
      <c r="B46" s="8" t="s">
        <v>2451</v>
      </c>
      <c r="C46" s="8"/>
      <c r="D46" s="8" t="s">
        <v>2087</v>
      </c>
      <c r="E46" s="8" t="s">
        <v>2451</v>
      </c>
      <c r="F46" s="8" t="s">
        <v>2451</v>
      </c>
      <c r="G46" s="8" t="s">
        <v>2451</v>
      </c>
    </row>
    <row r="47" spans="1:7" outlineLevel="2" x14ac:dyDescent="0.35">
      <c r="A47" s="8" t="s">
        <v>2451</v>
      </c>
      <c r="B47" s="8" t="s">
        <v>2451</v>
      </c>
      <c r="C47" s="8"/>
      <c r="D47" s="8" t="s">
        <v>2088</v>
      </c>
      <c r="E47" s="8" t="s">
        <v>2451</v>
      </c>
      <c r="F47" s="8" t="s">
        <v>2451</v>
      </c>
      <c r="G47" s="8" t="s">
        <v>2451</v>
      </c>
    </row>
    <row r="48" spans="1:7" outlineLevel="2" x14ac:dyDescent="0.35">
      <c r="A48" s="8" t="s">
        <v>2451</v>
      </c>
      <c r="B48" s="8" t="s">
        <v>2451</v>
      </c>
      <c r="C48" s="8"/>
      <c r="D48" s="8" t="s">
        <v>2089</v>
      </c>
      <c r="E48" s="8" t="s">
        <v>2451</v>
      </c>
      <c r="F48" s="8" t="s">
        <v>2451</v>
      </c>
      <c r="G48" s="8" t="s">
        <v>2451</v>
      </c>
    </row>
    <row r="49" spans="1:7" outlineLevel="2" x14ac:dyDescent="0.35">
      <c r="A49" s="8" t="s">
        <v>2451</v>
      </c>
      <c r="B49" s="8" t="s">
        <v>2451</v>
      </c>
      <c r="C49" s="8"/>
      <c r="D49" s="8" t="s">
        <v>2090</v>
      </c>
      <c r="E49" s="8" t="s">
        <v>2451</v>
      </c>
      <c r="F49" s="8" t="s">
        <v>2451</v>
      </c>
      <c r="G49" s="8" t="s">
        <v>2451</v>
      </c>
    </row>
    <row r="50" spans="1:7" outlineLevel="2" x14ac:dyDescent="0.35">
      <c r="A50" s="8" t="s">
        <v>2451</v>
      </c>
      <c r="B50" s="8" t="s">
        <v>2451</v>
      </c>
      <c r="C50" s="8"/>
      <c r="D50" s="8" t="s">
        <v>2091</v>
      </c>
      <c r="E50" s="8" t="s">
        <v>2451</v>
      </c>
      <c r="F50" s="8" t="s">
        <v>2451</v>
      </c>
      <c r="G50" s="8" t="s">
        <v>2451</v>
      </c>
    </row>
    <row r="51" spans="1:7" outlineLevel="2" x14ac:dyDescent="0.35">
      <c r="A51" s="8" t="s">
        <v>2451</v>
      </c>
      <c r="B51" s="8" t="s">
        <v>2451</v>
      </c>
      <c r="C51" s="8"/>
      <c r="D51" s="8" t="s">
        <v>2092</v>
      </c>
      <c r="E51" s="8" t="s">
        <v>2451</v>
      </c>
      <c r="F51" s="8" t="s">
        <v>2451</v>
      </c>
      <c r="G51" s="8" t="s">
        <v>2451</v>
      </c>
    </row>
    <row r="52" spans="1:7" outlineLevel="2" x14ac:dyDescent="0.35">
      <c r="A52" s="8" t="s">
        <v>2451</v>
      </c>
      <c r="B52" s="8" t="s">
        <v>2451</v>
      </c>
      <c r="C52" s="8"/>
      <c r="D52" s="8" t="s">
        <v>2093</v>
      </c>
      <c r="E52" s="8" t="s">
        <v>2451</v>
      </c>
      <c r="F52" s="8" t="s">
        <v>2451</v>
      </c>
      <c r="G52" s="8" t="s">
        <v>2451</v>
      </c>
    </row>
    <row r="53" spans="1:7" outlineLevel="1" x14ac:dyDescent="0.35">
      <c r="A53" s="8" t="s">
        <v>83</v>
      </c>
      <c r="B53" s="8" t="s">
        <v>398</v>
      </c>
      <c r="C53" s="8">
        <v>4</v>
      </c>
      <c r="D53" s="8" t="s">
        <v>2451</v>
      </c>
      <c r="E53" s="8" t="s">
        <v>2451</v>
      </c>
      <c r="F53" s="8" t="s">
        <v>2451</v>
      </c>
      <c r="G53" s="8" t="s">
        <v>2451</v>
      </c>
    </row>
    <row r="54" spans="1:7" outlineLevel="2" x14ac:dyDescent="0.35">
      <c r="A54" s="8" t="s">
        <v>2451</v>
      </c>
      <c r="B54" s="8" t="s">
        <v>2451</v>
      </c>
      <c r="C54" s="8"/>
      <c r="D54" s="8" t="s">
        <v>2076</v>
      </c>
      <c r="E54" s="8" t="s">
        <v>2451</v>
      </c>
      <c r="F54" s="8" t="s">
        <v>2451</v>
      </c>
      <c r="G54" s="8" t="s">
        <v>2451</v>
      </c>
    </row>
    <row r="55" spans="1:7" outlineLevel="2" x14ac:dyDescent="0.35">
      <c r="A55" s="8" t="s">
        <v>2451</v>
      </c>
      <c r="B55" s="8" t="s">
        <v>2451</v>
      </c>
      <c r="C55" s="8"/>
      <c r="D55" s="8" t="s">
        <v>2077</v>
      </c>
      <c r="E55" s="8" t="s">
        <v>2451</v>
      </c>
      <c r="F55" s="8" t="s">
        <v>2451</v>
      </c>
      <c r="G55" s="8" t="s">
        <v>2451</v>
      </c>
    </row>
    <row r="56" spans="1:7" outlineLevel="2" x14ac:dyDescent="0.35">
      <c r="A56" s="8" t="s">
        <v>2451</v>
      </c>
      <c r="B56" s="8" t="s">
        <v>2451</v>
      </c>
      <c r="C56" s="8"/>
      <c r="D56" s="8" t="s">
        <v>2078</v>
      </c>
      <c r="E56" s="8" t="s">
        <v>2451</v>
      </c>
      <c r="F56" s="8" t="s">
        <v>2451</v>
      </c>
      <c r="G56" s="8" t="s">
        <v>2451</v>
      </c>
    </row>
    <row r="57" spans="1:7" outlineLevel="2" x14ac:dyDescent="0.35">
      <c r="A57" s="8" t="s">
        <v>2451</v>
      </c>
      <c r="B57" s="8" t="s">
        <v>2451</v>
      </c>
      <c r="C57" s="8"/>
      <c r="D57" s="8" t="s">
        <v>2079</v>
      </c>
      <c r="E57" s="8" t="s">
        <v>2451</v>
      </c>
      <c r="F57" s="8" t="s">
        <v>2451</v>
      </c>
      <c r="G57" s="8" t="s">
        <v>2451</v>
      </c>
    </row>
    <row r="58" spans="1:7" outlineLevel="1" x14ac:dyDescent="0.35">
      <c r="A58" s="8" t="s">
        <v>83</v>
      </c>
      <c r="B58" s="8" t="s">
        <v>401</v>
      </c>
      <c r="C58" s="8">
        <v>9</v>
      </c>
      <c r="D58" s="8" t="s">
        <v>2451</v>
      </c>
      <c r="E58" s="8" t="s">
        <v>2451</v>
      </c>
      <c r="F58" s="8" t="s">
        <v>2451</v>
      </c>
      <c r="G58" s="8" t="s">
        <v>2451</v>
      </c>
    </row>
    <row r="59" spans="1:7" outlineLevel="2" x14ac:dyDescent="0.35">
      <c r="A59" s="8" t="s">
        <v>2451</v>
      </c>
      <c r="B59" s="8" t="s">
        <v>2451</v>
      </c>
      <c r="C59" s="8"/>
      <c r="D59" s="8" t="s">
        <v>2067</v>
      </c>
      <c r="E59" s="8" t="s">
        <v>2451</v>
      </c>
      <c r="F59" s="8" t="s">
        <v>2451</v>
      </c>
      <c r="G59" s="8" t="s">
        <v>2451</v>
      </c>
    </row>
    <row r="60" spans="1:7" outlineLevel="2" x14ac:dyDescent="0.35">
      <c r="A60" s="8" t="s">
        <v>2451</v>
      </c>
      <c r="B60" s="8" t="s">
        <v>2451</v>
      </c>
      <c r="C60" s="8"/>
      <c r="D60" s="8" t="s">
        <v>2068</v>
      </c>
      <c r="E60" s="8" t="s">
        <v>2451</v>
      </c>
      <c r="F60" s="8" t="s">
        <v>2451</v>
      </c>
      <c r="G60" s="8" t="s">
        <v>2451</v>
      </c>
    </row>
    <row r="61" spans="1:7" outlineLevel="2" x14ac:dyDescent="0.35">
      <c r="A61" s="8" t="s">
        <v>2451</v>
      </c>
      <c r="B61" s="8" t="s">
        <v>2451</v>
      </c>
      <c r="C61" s="8"/>
      <c r="D61" s="8" t="s">
        <v>2069</v>
      </c>
      <c r="E61" s="8" t="s">
        <v>2451</v>
      </c>
      <c r="F61" s="8" t="s">
        <v>2451</v>
      </c>
      <c r="G61" s="8" t="s">
        <v>2451</v>
      </c>
    </row>
    <row r="62" spans="1:7" outlineLevel="2" x14ac:dyDescent="0.35">
      <c r="A62" s="8" t="s">
        <v>2451</v>
      </c>
      <c r="B62" s="8" t="s">
        <v>2451</v>
      </c>
      <c r="C62" s="8"/>
      <c r="D62" s="8" t="s">
        <v>2070</v>
      </c>
      <c r="E62" s="8" t="s">
        <v>2451</v>
      </c>
      <c r="F62" s="8" t="s">
        <v>2451</v>
      </c>
      <c r="G62" s="8" t="s">
        <v>2451</v>
      </c>
    </row>
    <row r="63" spans="1:7" outlineLevel="2" x14ac:dyDescent="0.35">
      <c r="A63" s="8" t="s">
        <v>2451</v>
      </c>
      <c r="B63" s="8" t="s">
        <v>2451</v>
      </c>
      <c r="C63" s="8"/>
      <c r="D63" s="8" t="s">
        <v>2071</v>
      </c>
      <c r="E63" s="8" t="s">
        <v>2451</v>
      </c>
      <c r="F63" s="8" t="s">
        <v>2451</v>
      </c>
      <c r="G63" s="8" t="s">
        <v>2451</v>
      </c>
    </row>
    <row r="64" spans="1:7" outlineLevel="2" x14ac:dyDescent="0.35">
      <c r="A64" s="8" t="s">
        <v>2451</v>
      </c>
      <c r="B64" s="8" t="s">
        <v>2451</v>
      </c>
      <c r="C64" s="8"/>
      <c r="D64" s="8" t="s">
        <v>2072</v>
      </c>
      <c r="E64" s="8" t="s">
        <v>2451</v>
      </c>
      <c r="F64" s="8" t="s">
        <v>2451</v>
      </c>
      <c r="G64" s="8" t="s">
        <v>2451</v>
      </c>
    </row>
    <row r="65" spans="1:7" outlineLevel="2" x14ac:dyDescent="0.35">
      <c r="A65" s="8" t="s">
        <v>2451</v>
      </c>
      <c r="B65" s="8" t="s">
        <v>2451</v>
      </c>
      <c r="C65" s="8"/>
      <c r="D65" s="8" t="s">
        <v>2073</v>
      </c>
      <c r="E65" s="8" t="s">
        <v>2451</v>
      </c>
      <c r="F65" s="8" t="s">
        <v>2451</v>
      </c>
      <c r="G65" s="8" t="s">
        <v>2451</v>
      </c>
    </row>
    <row r="66" spans="1:7" outlineLevel="2" x14ac:dyDescent="0.35">
      <c r="A66" s="8" t="s">
        <v>2451</v>
      </c>
      <c r="B66" s="8" t="s">
        <v>2451</v>
      </c>
      <c r="C66" s="8"/>
      <c r="D66" s="8" t="s">
        <v>2074</v>
      </c>
      <c r="E66" s="8" t="s">
        <v>2451</v>
      </c>
      <c r="F66" s="8" t="s">
        <v>2451</v>
      </c>
      <c r="G66" s="8" t="s">
        <v>2451</v>
      </c>
    </row>
    <row r="67" spans="1:7" outlineLevel="2" x14ac:dyDescent="0.35">
      <c r="A67" s="8" t="s">
        <v>2451</v>
      </c>
      <c r="B67" s="8" t="s">
        <v>2451</v>
      </c>
      <c r="C67" s="8"/>
      <c r="D67" s="8" t="s">
        <v>2075</v>
      </c>
      <c r="E67" s="8" t="s">
        <v>2451</v>
      </c>
      <c r="F67" s="8" t="s">
        <v>2451</v>
      </c>
      <c r="G67" s="8" t="s">
        <v>2451</v>
      </c>
    </row>
    <row r="68" spans="1:7" outlineLevel="1" x14ac:dyDescent="0.35">
      <c r="A68" s="8" t="s">
        <v>229</v>
      </c>
      <c r="B68" s="8" t="s">
        <v>406</v>
      </c>
      <c r="C68" s="8">
        <v>15</v>
      </c>
      <c r="D68" s="8" t="s">
        <v>2451</v>
      </c>
      <c r="E68" s="8" t="s">
        <v>2451</v>
      </c>
      <c r="F68" s="8" t="s">
        <v>2451</v>
      </c>
      <c r="G68" s="8" t="s">
        <v>2451</v>
      </c>
    </row>
    <row r="69" spans="1:7" outlineLevel="2" x14ac:dyDescent="0.35">
      <c r="A69" s="8" t="s">
        <v>2451</v>
      </c>
      <c r="B69" s="8" t="s">
        <v>2451</v>
      </c>
      <c r="C69" s="8"/>
      <c r="D69" s="8" t="s">
        <v>2052</v>
      </c>
      <c r="E69" s="8" t="s">
        <v>2451</v>
      </c>
      <c r="F69" s="8" t="s">
        <v>2451</v>
      </c>
      <c r="G69" s="8" t="s">
        <v>2451</v>
      </c>
    </row>
    <row r="70" spans="1:7" outlineLevel="2" x14ac:dyDescent="0.35">
      <c r="A70" s="8" t="s">
        <v>2451</v>
      </c>
      <c r="B70" s="8" t="s">
        <v>2451</v>
      </c>
      <c r="C70" s="8"/>
      <c r="D70" s="8" t="s">
        <v>2053</v>
      </c>
      <c r="E70" s="8" t="s">
        <v>2451</v>
      </c>
      <c r="F70" s="8" t="s">
        <v>2451</v>
      </c>
      <c r="G70" s="8" t="s">
        <v>2451</v>
      </c>
    </row>
    <row r="71" spans="1:7" outlineLevel="2" x14ac:dyDescent="0.35">
      <c r="A71" s="8" t="s">
        <v>2451</v>
      </c>
      <c r="B71" s="8" t="s">
        <v>2451</v>
      </c>
      <c r="C71" s="8"/>
      <c r="D71" s="8" t="s">
        <v>2054</v>
      </c>
      <c r="E71" s="8" t="s">
        <v>2451</v>
      </c>
      <c r="F71" s="8" t="s">
        <v>2451</v>
      </c>
      <c r="G71" s="8" t="s">
        <v>2451</v>
      </c>
    </row>
    <row r="72" spans="1:7" outlineLevel="2" x14ac:dyDescent="0.35">
      <c r="A72" s="8" t="s">
        <v>2451</v>
      </c>
      <c r="B72" s="8" t="s">
        <v>2451</v>
      </c>
      <c r="C72" s="8"/>
      <c r="D72" s="8" t="s">
        <v>2055</v>
      </c>
      <c r="E72" s="8" t="s">
        <v>2451</v>
      </c>
      <c r="F72" s="8" t="s">
        <v>2451</v>
      </c>
      <c r="G72" s="8" t="s">
        <v>2451</v>
      </c>
    </row>
    <row r="73" spans="1:7" outlineLevel="2" x14ac:dyDescent="0.35">
      <c r="A73" s="8" t="s">
        <v>2451</v>
      </c>
      <c r="B73" s="8" t="s">
        <v>2451</v>
      </c>
      <c r="C73" s="8"/>
      <c r="D73" s="8" t="s">
        <v>2056</v>
      </c>
      <c r="E73" s="8" t="s">
        <v>2451</v>
      </c>
      <c r="F73" s="8" t="s">
        <v>2451</v>
      </c>
      <c r="G73" s="8" t="s">
        <v>2451</v>
      </c>
    </row>
    <row r="74" spans="1:7" outlineLevel="2" x14ac:dyDescent="0.35">
      <c r="A74" s="8" t="s">
        <v>2451</v>
      </c>
      <c r="B74" s="8" t="s">
        <v>2451</v>
      </c>
      <c r="C74" s="8"/>
      <c r="D74" s="8" t="s">
        <v>2057</v>
      </c>
      <c r="E74" s="8" t="s">
        <v>2451</v>
      </c>
      <c r="F74" s="8" t="s">
        <v>2451</v>
      </c>
      <c r="G74" s="8" t="s">
        <v>2451</v>
      </c>
    </row>
    <row r="75" spans="1:7" outlineLevel="2" x14ac:dyDescent="0.35">
      <c r="A75" s="8" t="s">
        <v>2451</v>
      </c>
      <c r="B75" s="8" t="s">
        <v>2451</v>
      </c>
      <c r="C75" s="8"/>
      <c r="D75" s="8" t="s">
        <v>2058</v>
      </c>
      <c r="E75" s="8" t="s">
        <v>2451</v>
      </c>
      <c r="F75" s="8" t="s">
        <v>2451</v>
      </c>
      <c r="G75" s="8" t="s">
        <v>2451</v>
      </c>
    </row>
    <row r="76" spans="1:7" outlineLevel="2" x14ac:dyDescent="0.35">
      <c r="A76" s="8" t="s">
        <v>2451</v>
      </c>
      <c r="B76" s="8" t="s">
        <v>2451</v>
      </c>
      <c r="C76" s="8"/>
      <c r="D76" s="8" t="s">
        <v>2059</v>
      </c>
      <c r="E76" s="8" t="s">
        <v>2451</v>
      </c>
      <c r="F76" s="8" t="s">
        <v>2451</v>
      </c>
      <c r="G76" s="8" t="s">
        <v>2451</v>
      </c>
    </row>
    <row r="77" spans="1:7" outlineLevel="2" x14ac:dyDescent="0.35">
      <c r="A77" s="8" t="s">
        <v>2451</v>
      </c>
      <c r="B77" s="8" t="s">
        <v>2451</v>
      </c>
      <c r="C77" s="8"/>
      <c r="D77" s="8" t="s">
        <v>2060</v>
      </c>
      <c r="E77" s="8" t="s">
        <v>2451</v>
      </c>
      <c r="F77" s="8" t="s">
        <v>2451</v>
      </c>
      <c r="G77" s="8" t="s">
        <v>2451</v>
      </c>
    </row>
    <row r="78" spans="1:7" outlineLevel="2" x14ac:dyDescent="0.35">
      <c r="A78" s="8" t="s">
        <v>2451</v>
      </c>
      <c r="B78" s="8" t="s">
        <v>2451</v>
      </c>
      <c r="C78" s="8"/>
      <c r="D78" s="8" t="s">
        <v>2061</v>
      </c>
      <c r="E78" s="8" t="s">
        <v>2451</v>
      </c>
      <c r="F78" s="8" t="s">
        <v>2451</v>
      </c>
      <c r="G78" s="8" t="s">
        <v>2451</v>
      </c>
    </row>
    <row r="79" spans="1:7" outlineLevel="2" x14ac:dyDescent="0.35">
      <c r="A79" s="8" t="s">
        <v>2451</v>
      </c>
      <c r="B79" s="8" t="s">
        <v>2451</v>
      </c>
      <c r="C79" s="8"/>
      <c r="D79" s="8" t="s">
        <v>2062</v>
      </c>
      <c r="E79" s="8" t="s">
        <v>2451</v>
      </c>
      <c r="F79" s="8" t="s">
        <v>2451</v>
      </c>
      <c r="G79" s="8" t="s">
        <v>2451</v>
      </c>
    </row>
    <row r="80" spans="1:7" outlineLevel="2" x14ac:dyDescent="0.35">
      <c r="A80" s="8" t="s">
        <v>2451</v>
      </c>
      <c r="B80" s="8" t="s">
        <v>2451</v>
      </c>
      <c r="C80" s="8"/>
      <c r="D80" s="8" t="s">
        <v>2063</v>
      </c>
      <c r="E80" s="8" t="s">
        <v>2451</v>
      </c>
      <c r="F80" s="8" t="s">
        <v>2451</v>
      </c>
      <c r="G80" s="8" t="s">
        <v>2451</v>
      </c>
    </row>
    <row r="81" spans="1:7" outlineLevel="2" x14ac:dyDescent="0.35">
      <c r="A81" s="8" t="s">
        <v>2451</v>
      </c>
      <c r="B81" s="8" t="s">
        <v>2451</v>
      </c>
      <c r="C81" s="8"/>
      <c r="D81" s="8" t="s">
        <v>2064</v>
      </c>
      <c r="E81" s="8" t="s">
        <v>2451</v>
      </c>
      <c r="F81" s="8" t="s">
        <v>2451</v>
      </c>
      <c r="G81" s="8" t="s">
        <v>2451</v>
      </c>
    </row>
    <row r="82" spans="1:7" outlineLevel="2" x14ac:dyDescent="0.35">
      <c r="A82" s="8" t="s">
        <v>2451</v>
      </c>
      <c r="B82" s="8" t="s">
        <v>2451</v>
      </c>
      <c r="C82" s="8"/>
      <c r="D82" s="8" t="s">
        <v>2065</v>
      </c>
      <c r="E82" s="8" t="s">
        <v>2451</v>
      </c>
      <c r="F82" s="8" t="s">
        <v>2451</v>
      </c>
      <c r="G82" s="8" t="s">
        <v>2451</v>
      </c>
    </row>
    <row r="83" spans="1:7" outlineLevel="2" x14ac:dyDescent="0.35">
      <c r="A83" s="8" t="s">
        <v>2451</v>
      </c>
      <c r="B83" s="8" t="s">
        <v>2451</v>
      </c>
      <c r="C83" s="8"/>
      <c r="D83" s="8" t="s">
        <v>2066</v>
      </c>
      <c r="E83" s="8" t="s">
        <v>2451</v>
      </c>
      <c r="F83" s="8" t="s">
        <v>2451</v>
      </c>
      <c r="G83" s="8" t="s">
        <v>2451</v>
      </c>
    </row>
    <row r="84" spans="1:7" outlineLevel="1" x14ac:dyDescent="0.35">
      <c r="A84" s="8" t="s">
        <v>229</v>
      </c>
      <c r="B84" s="8" t="s">
        <v>410</v>
      </c>
      <c r="C84" s="8">
        <v>1</v>
      </c>
      <c r="D84" s="8" t="s">
        <v>2451</v>
      </c>
      <c r="E84" s="8" t="s">
        <v>2451</v>
      </c>
      <c r="F84" s="8" t="s">
        <v>2451</v>
      </c>
      <c r="G84" s="8" t="s">
        <v>2451</v>
      </c>
    </row>
    <row r="85" spans="1:7" outlineLevel="1" x14ac:dyDescent="0.35">
      <c r="A85" s="8" t="s">
        <v>2451</v>
      </c>
      <c r="B85" s="8" t="s">
        <v>2451</v>
      </c>
      <c r="C85" s="8"/>
      <c r="D85" s="8" t="s">
        <v>2051</v>
      </c>
      <c r="E85" s="8" t="s">
        <v>2451</v>
      </c>
      <c r="F85" s="8" t="s">
        <v>2451</v>
      </c>
      <c r="G85" s="8" t="s">
        <v>2451</v>
      </c>
    </row>
    <row r="86" spans="1:7" outlineLevel="1" x14ac:dyDescent="0.35">
      <c r="A86" s="8" t="s">
        <v>296</v>
      </c>
      <c r="B86" s="8" t="s">
        <v>414</v>
      </c>
      <c r="C86" s="8">
        <v>6</v>
      </c>
      <c r="D86" s="8" t="s">
        <v>2451</v>
      </c>
      <c r="E86" s="8" t="s">
        <v>2451</v>
      </c>
      <c r="F86" s="8" t="s">
        <v>2451</v>
      </c>
      <c r="G86" s="8" t="s">
        <v>2451</v>
      </c>
    </row>
    <row r="87" spans="1:7" outlineLevel="2" x14ac:dyDescent="0.35">
      <c r="A87" s="8" t="s">
        <v>2451</v>
      </c>
      <c r="B87" s="8" t="s">
        <v>2451</v>
      </c>
      <c r="C87" s="8"/>
      <c r="D87" s="8" t="s">
        <v>2045</v>
      </c>
      <c r="E87" s="8" t="s">
        <v>2451</v>
      </c>
      <c r="F87" s="8" t="s">
        <v>2451</v>
      </c>
      <c r="G87" s="8" t="s">
        <v>2451</v>
      </c>
    </row>
    <row r="88" spans="1:7" outlineLevel="2" x14ac:dyDescent="0.35">
      <c r="A88" s="8" t="s">
        <v>2451</v>
      </c>
      <c r="B88" s="8" t="s">
        <v>2451</v>
      </c>
      <c r="C88" s="8"/>
      <c r="D88" s="8" t="s">
        <v>2046</v>
      </c>
      <c r="E88" s="8" t="s">
        <v>2451</v>
      </c>
      <c r="F88" s="8" t="s">
        <v>2451</v>
      </c>
      <c r="G88" s="8" t="s">
        <v>2451</v>
      </c>
    </row>
    <row r="89" spans="1:7" outlineLevel="2" x14ac:dyDescent="0.35">
      <c r="A89" s="8" t="s">
        <v>2451</v>
      </c>
      <c r="B89" s="8" t="s">
        <v>2451</v>
      </c>
      <c r="C89" s="8"/>
      <c r="D89" s="8" t="s">
        <v>2047</v>
      </c>
      <c r="E89" s="8" t="s">
        <v>2451</v>
      </c>
      <c r="F89" s="8" t="s">
        <v>2451</v>
      </c>
      <c r="G89" s="8" t="s">
        <v>2451</v>
      </c>
    </row>
    <row r="90" spans="1:7" outlineLevel="2" x14ac:dyDescent="0.35">
      <c r="A90" s="8" t="s">
        <v>2451</v>
      </c>
      <c r="B90" s="8" t="s">
        <v>2451</v>
      </c>
      <c r="C90" s="8"/>
      <c r="D90" s="8" t="s">
        <v>2048</v>
      </c>
      <c r="E90" s="8" t="s">
        <v>2451</v>
      </c>
      <c r="F90" s="8" t="s">
        <v>2451</v>
      </c>
      <c r="G90" s="8" t="s">
        <v>2451</v>
      </c>
    </row>
    <row r="91" spans="1:7" outlineLevel="2" x14ac:dyDescent="0.35">
      <c r="A91" s="8" t="s">
        <v>2451</v>
      </c>
      <c r="B91" s="8" t="s">
        <v>2451</v>
      </c>
      <c r="C91" s="8"/>
      <c r="D91" s="8" t="s">
        <v>2049</v>
      </c>
      <c r="E91" s="8" t="s">
        <v>2451</v>
      </c>
      <c r="F91" s="8" t="s">
        <v>2451</v>
      </c>
      <c r="G91" s="8" t="s">
        <v>2451</v>
      </c>
    </row>
    <row r="92" spans="1:7" outlineLevel="2" x14ac:dyDescent="0.35">
      <c r="A92" s="8" t="s">
        <v>2451</v>
      </c>
      <c r="B92" s="8" t="s">
        <v>2451</v>
      </c>
      <c r="C92" s="8"/>
      <c r="D92" s="8" t="s">
        <v>2050</v>
      </c>
      <c r="E92" s="8" t="s">
        <v>2451</v>
      </c>
      <c r="F92" s="8" t="s">
        <v>2451</v>
      </c>
      <c r="G92" s="8" t="s">
        <v>2451</v>
      </c>
    </row>
    <row r="93" spans="1:7" outlineLevel="1" x14ac:dyDescent="0.35">
      <c r="A93" s="8" t="s">
        <v>296</v>
      </c>
      <c r="B93" s="8" t="s">
        <v>419</v>
      </c>
      <c r="C93" s="8">
        <v>4</v>
      </c>
      <c r="D93" s="8" t="s">
        <v>2451</v>
      </c>
      <c r="E93" s="8" t="s">
        <v>2451</v>
      </c>
      <c r="F93" s="8" t="s">
        <v>2451</v>
      </c>
      <c r="G93" s="8" t="s">
        <v>2451</v>
      </c>
    </row>
    <row r="94" spans="1:7" outlineLevel="2" x14ac:dyDescent="0.35">
      <c r="A94" s="8" t="s">
        <v>2451</v>
      </c>
      <c r="B94" s="8" t="s">
        <v>2451</v>
      </c>
      <c r="C94" s="8"/>
      <c r="D94" s="8" t="s">
        <v>2041</v>
      </c>
      <c r="E94" s="8" t="s">
        <v>2451</v>
      </c>
      <c r="F94" s="8" t="s">
        <v>2451</v>
      </c>
      <c r="G94" s="8" t="s">
        <v>2451</v>
      </c>
    </row>
    <row r="95" spans="1:7" outlineLevel="2" x14ac:dyDescent="0.35">
      <c r="A95" s="8" t="s">
        <v>2451</v>
      </c>
      <c r="B95" s="8" t="s">
        <v>2451</v>
      </c>
      <c r="C95" s="8"/>
      <c r="D95" s="8" t="s">
        <v>2042</v>
      </c>
      <c r="E95" s="8" t="s">
        <v>2451</v>
      </c>
      <c r="F95" s="8" t="s">
        <v>2451</v>
      </c>
      <c r="G95" s="8" t="s">
        <v>2451</v>
      </c>
    </row>
    <row r="96" spans="1:7" outlineLevel="2" x14ac:dyDescent="0.35">
      <c r="A96" s="8" t="s">
        <v>2451</v>
      </c>
      <c r="B96" s="8" t="s">
        <v>2451</v>
      </c>
      <c r="C96" s="8"/>
      <c r="D96" s="8" t="s">
        <v>2043</v>
      </c>
      <c r="E96" s="8" t="s">
        <v>2451</v>
      </c>
      <c r="F96" s="8" t="s">
        <v>2451</v>
      </c>
      <c r="G96" s="8" t="s">
        <v>2451</v>
      </c>
    </row>
    <row r="97" spans="1:7" outlineLevel="2" x14ac:dyDescent="0.35">
      <c r="A97" s="8" t="s">
        <v>2451</v>
      </c>
      <c r="B97" s="8" t="s">
        <v>2451</v>
      </c>
      <c r="C97" s="8"/>
      <c r="D97" s="8" t="s">
        <v>2044</v>
      </c>
      <c r="E97" s="8" t="s">
        <v>2451</v>
      </c>
      <c r="F97" s="8" t="s">
        <v>2451</v>
      </c>
      <c r="G97" s="8" t="s">
        <v>2451</v>
      </c>
    </row>
    <row r="98" spans="1:7" outlineLevel="1" x14ac:dyDescent="0.35">
      <c r="A98" s="8" t="s">
        <v>354</v>
      </c>
      <c r="B98" s="8" t="s">
        <v>424</v>
      </c>
      <c r="C98" s="8">
        <v>4</v>
      </c>
      <c r="D98" s="8" t="s">
        <v>2451</v>
      </c>
      <c r="E98" s="8" t="s">
        <v>2451</v>
      </c>
      <c r="F98" s="8" t="s">
        <v>2451</v>
      </c>
      <c r="G98" s="8" t="s">
        <v>2451</v>
      </c>
    </row>
    <row r="99" spans="1:7" outlineLevel="2" x14ac:dyDescent="0.35">
      <c r="A99" s="8" t="s">
        <v>2451</v>
      </c>
      <c r="B99" s="8" t="s">
        <v>2451</v>
      </c>
      <c r="C99" s="8"/>
      <c r="D99" s="8" t="s">
        <v>2037</v>
      </c>
      <c r="E99" s="8" t="s">
        <v>2451</v>
      </c>
      <c r="F99" s="8" t="s">
        <v>2451</v>
      </c>
      <c r="G99" s="8" t="s">
        <v>2451</v>
      </c>
    </row>
    <row r="100" spans="1:7" outlineLevel="2" x14ac:dyDescent="0.35">
      <c r="A100" s="8" t="s">
        <v>2451</v>
      </c>
      <c r="B100" s="8" t="s">
        <v>2451</v>
      </c>
      <c r="C100" s="8"/>
      <c r="D100" s="8" t="s">
        <v>2038</v>
      </c>
      <c r="E100" s="8" t="s">
        <v>2451</v>
      </c>
      <c r="F100" s="8" t="s">
        <v>2451</v>
      </c>
      <c r="G100" s="8" t="s">
        <v>2451</v>
      </c>
    </row>
    <row r="101" spans="1:7" outlineLevel="2" x14ac:dyDescent="0.35">
      <c r="A101" s="8" t="s">
        <v>2451</v>
      </c>
      <c r="B101" s="8" t="s">
        <v>2451</v>
      </c>
      <c r="C101" s="8"/>
      <c r="D101" s="8" t="s">
        <v>2039</v>
      </c>
      <c r="E101" s="8" t="s">
        <v>2451</v>
      </c>
      <c r="F101" s="8" t="s">
        <v>2451</v>
      </c>
      <c r="G101" s="8" t="s">
        <v>2451</v>
      </c>
    </row>
    <row r="102" spans="1:7" outlineLevel="2" x14ac:dyDescent="0.35">
      <c r="A102" s="8" t="s">
        <v>2451</v>
      </c>
      <c r="B102" s="8" t="s">
        <v>2451</v>
      </c>
      <c r="C102" s="8"/>
      <c r="D102" s="8" t="s">
        <v>2040</v>
      </c>
      <c r="E102" s="8" t="s">
        <v>2451</v>
      </c>
      <c r="F102" s="8" t="s">
        <v>2451</v>
      </c>
      <c r="G102" s="8" t="s">
        <v>2451</v>
      </c>
    </row>
    <row r="103" spans="1:7" outlineLevel="1" x14ac:dyDescent="0.35">
      <c r="A103" s="8" t="s">
        <v>107</v>
      </c>
      <c r="B103" s="8" t="s">
        <v>428</v>
      </c>
      <c r="C103" s="8">
        <v>10</v>
      </c>
      <c r="D103" s="8" t="s">
        <v>2451</v>
      </c>
      <c r="E103" s="8" t="s">
        <v>2451</v>
      </c>
      <c r="F103" s="8" t="s">
        <v>2451</v>
      </c>
      <c r="G103" s="8" t="s">
        <v>2451</v>
      </c>
    </row>
    <row r="104" spans="1:7" outlineLevel="2" x14ac:dyDescent="0.35">
      <c r="A104" s="8" t="s">
        <v>2451</v>
      </c>
      <c r="B104" s="8" t="s">
        <v>2451</v>
      </c>
      <c r="C104" s="8"/>
      <c r="D104" s="8" t="s">
        <v>2027</v>
      </c>
      <c r="E104" s="8" t="s">
        <v>2451</v>
      </c>
      <c r="F104" s="8" t="s">
        <v>2451</v>
      </c>
      <c r="G104" s="8" t="s">
        <v>2451</v>
      </c>
    </row>
    <row r="105" spans="1:7" outlineLevel="2" x14ac:dyDescent="0.35">
      <c r="A105" s="8" t="s">
        <v>2451</v>
      </c>
      <c r="B105" s="8" t="s">
        <v>2451</v>
      </c>
      <c r="C105" s="8"/>
      <c r="D105" s="8" t="s">
        <v>2028</v>
      </c>
      <c r="E105" s="8" t="s">
        <v>2451</v>
      </c>
      <c r="F105" s="8" t="s">
        <v>2451</v>
      </c>
      <c r="G105" s="8" t="s">
        <v>2451</v>
      </c>
    </row>
    <row r="106" spans="1:7" outlineLevel="2" x14ac:dyDescent="0.35">
      <c r="A106" s="8" t="s">
        <v>2451</v>
      </c>
      <c r="B106" s="8" t="s">
        <v>2451</v>
      </c>
      <c r="C106" s="8"/>
      <c r="D106" s="8" t="s">
        <v>2029</v>
      </c>
      <c r="E106" s="8" t="s">
        <v>2451</v>
      </c>
      <c r="F106" s="8" t="s">
        <v>2451</v>
      </c>
      <c r="G106" s="8" t="s">
        <v>2451</v>
      </c>
    </row>
    <row r="107" spans="1:7" outlineLevel="2" x14ac:dyDescent="0.35">
      <c r="A107" s="8" t="s">
        <v>2451</v>
      </c>
      <c r="B107" s="8" t="s">
        <v>2451</v>
      </c>
      <c r="C107" s="8"/>
      <c r="D107" s="8" t="s">
        <v>2030</v>
      </c>
      <c r="E107" s="8" t="s">
        <v>2451</v>
      </c>
      <c r="F107" s="8" t="s">
        <v>2451</v>
      </c>
      <c r="G107" s="8" t="s">
        <v>2451</v>
      </c>
    </row>
    <row r="108" spans="1:7" outlineLevel="2" x14ac:dyDescent="0.35">
      <c r="A108" s="8" t="s">
        <v>2451</v>
      </c>
      <c r="B108" s="8" t="s">
        <v>2451</v>
      </c>
      <c r="C108" s="8"/>
      <c r="D108" s="8" t="s">
        <v>2031</v>
      </c>
      <c r="E108" s="8" t="s">
        <v>2451</v>
      </c>
      <c r="F108" s="8" t="s">
        <v>2451</v>
      </c>
      <c r="G108" s="8" t="s">
        <v>2451</v>
      </c>
    </row>
    <row r="109" spans="1:7" outlineLevel="2" x14ac:dyDescent="0.35">
      <c r="A109" s="8" t="s">
        <v>2451</v>
      </c>
      <c r="B109" s="8" t="s">
        <v>2451</v>
      </c>
      <c r="C109" s="8"/>
      <c r="D109" s="8" t="s">
        <v>2032</v>
      </c>
      <c r="E109" s="8" t="s">
        <v>2451</v>
      </c>
      <c r="F109" s="8" t="s">
        <v>2451</v>
      </c>
      <c r="G109" s="8" t="s">
        <v>2451</v>
      </c>
    </row>
    <row r="110" spans="1:7" outlineLevel="2" x14ac:dyDescent="0.35">
      <c r="A110" s="8" t="s">
        <v>2451</v>
      </c>
      <c r="B110" s="8" t="s">
        <v>2451</v>
      </c>
      <c r="C110" s="8"/>
      <c r="D110" s="8" t="s">
        <v>2033</v>
      </c>
      <c r="E110" s="8" t="s">
        <v>2451</v>
      </c>
      <c r="F110" s="8" t="s">
        <v>2451</v>
      </c>
      <c r="G110" s="8" t="s">
        <v>2451</v>
      </c>
    </row>
    <row r="111" spans="1:7" outlineLevel="2" x14ac:dyDescent="0.35">
      <c r="A111" s="8" t="s">
        <v>2451</v>
      </c>
      <c r="B111" s="8" t="s">
        <v>2451</v>
      </c>
      <c r="C111" s="8"/>
      <c r="D111" s="8" t="s">
        <v>2034</v>
      </c>
      <c r="E111" s="8" t="s">
        <v>2451</v>
      </c>
      <c r="F111" s="8" t="s">
        <v>2451</v>
      </c>
      <c r="G111" s="8" t="s">
        <v>2451</v>
      </c>
    </row>
    <row r="112" spans="1:7" outlineLevel="2" x14ac:dyDescent="0.35">
      <c r="A112" s="8" t="s">
        <v>2451</v>
      </c>
      <c r="B112" s="8" t="s">
        <v>2451</v>
      </c>
      <c r="C112" s="8"/>
      <c r="D112" s="8" t="s">
        <v>2035</v>
      </c>
      <c r="E112" s="8" t="s">
        <v>2451</v>
      </c>
      <c r="F112" s="8" t="s">
        <v>2451</v>
      </c>
      <c r="G112" s="8" t="s">
        <v>2451</v>
      </c>
    </row>
    <row r="113" spans="1:7" outlineLevel="2" x14ac:dyDescent="0.35">
      <c r="A113" s="8" t="s">
        <v>2451</v>
      </c>
      <c r="B113" s="8" t="s">
        <v>2451</v>
      </c>
      <c r="C113" s="8"/>
      <c r="D113" s="8" t="s">
        <v>2036</v>
      </c>
      <c r="E113" s="8" t="s">
        <v>2451</v>
      </c>
      <c r="F113" s="8" t="s">
        <v>2451</v>
      </c>
      <c r="G113" s="8" t="s">
        <v>2451</v>
      </c>
    </row>
    <row r="114" spans="1:7" outlineLevel="1" x14ac:dyDescent="0.35">
      <c r="A114" s="8" t="s">
        <v>107</v>
      </c>
      <c r="B114" s="8" t="s">
        <v>433</v>
      </c>
      <c r="C114" s="8">
        <v>10</v>
      </c>
      <c r="D114" s="8" t="s">
        <v>2451</v>
      </c>
      <c r="E114" s="8" t="s">
        <v>2451</v>
      </c>
      <c r="F114" s="8" t="s">
        <v>2451</v>
      </c>
      <c r="G114" s="8" t="s">
        <v>2451</v>
      </c>
    </row>
    <row r="115" spans="1:7" outlineLevel="2" x14ac:dyDescent="0.35">
      <c r="A115" s="8" t="s">
        <v>2451</v>
      </c>
      <c r="B115" s="8" t="s">
        <v>2451</v>
      </c>
      <c r="C115" s="8"/>
      <c r="D115" s="8" t="s">
        <v>2017</v>
      </c>
      <c r="E115" s="8" t="s">
        <v>2451</v>
      </c>
      <c r="F115" s="8" t="s">
        <v>2451</v>
      </c>
      <c r="G115" s="8" t="s">
        <v>2451</v>
      </c>
    </row>
    <row r="116" spans="1:7" outlineLevel="2" x14ac:dyDescent="0.35">
      <c r="A116" s="8" t="s">
        <v>2451</v>
      </c>
      <c r="B116" s="8" t="s">
        <v>2451</v>
      </c>
      <c r="C116" s="8"/>
      <c r="D116" s="8" t="s">
        <v>2018</v>
      </c>
      <c r="E116" s="8" t="s">
        <v>2451</v>
      </c>
      <c r="F116" s="8" t="s">
        <v>2451</v>
      </c>
      <c r="G116" s="8" t="s">
        <v>2451</v>
      </c>
    </row>
    <row r="117" spans="1:7" outlineLevel="2" x14ac:dyDescent="0.35">
      <c r="A117" s="8" t="s">
        <v>2451</v>
      </c>
      <c r="B117" s="8" t="s">
        <v>2451</v>
      </c>
      <c r="C117" s="8"/>
      <c r="D117" s="8" t="s">
        <v>2019</v>
      </c>
      <c r="E117" s="8" t="s">
        <v>2451</v>
      </c>
      <c r="F117" s="8" t="s">
        <v>2451</v>
      </c>
      <c r="G117" s="8" t="s">
        <v>2451</v>
      </c>
    </row>
    <row r="118" spans="1:7" outlineLevel="2" x14ac:dyDescent="0.35">
      <c r="A118" s="8" t="s">
        <v>2451</v>
      </c>
      <c r="B118" s="8" t="s">
        <v>2451</v>
      </c>
      <c r="C118" s="8"/>
      <c r="D118" s="8" t="s">
        <v>2020</v>
      </c>
      <c r="E118" s="8" t="s">
        <v>2451</v>
      </c>
      <c r="F118" s="8" t="s">
        <v>2451</v>
      </c>
      <c r="G118" s="8" t="s">
        <v>2451</v>
      </c>
    </row>
    <row r="119" spans="1:7" outlineLevel="2" x14ac:dyDescent="0.35">
      <c r="A119" s="8" t="s">
        <v>2451</v>
      </c>
      <c r="B119" s="8" t="s">
        <v>2451</v>
      </c>
      <c r="C119" s="8"/>
      <c r="D119" s="8" t="s">
        <v>2021</v>
      </c>
      <c r="E119" s="8" t="s">
        <v>2451</v>
      </c>
      <c r="F119" s="8" t="s">
        <v>2451</v>
      </c>
      <c r="G119" s="8" t="s">
        <v>2451</v>
      </c>
    </row>
    <row r="120" spans="1:7" outlineLevel="2" x14ac:dyDescent="0.35">
      <c r="A120" s="8" t="s">
        <v>2451</v>
      </c>
      <c r="B120" s="8" t="s">
        <v>2451</v>
      </c>
      <c r="C120" s="8"/>
      <c r="D120" s="8" t="s">
        <v>2022</v>
      </c>
      <c r="E120" s="8" t="s">
        <v>2451</v>
      </c>
      <c r="F120" s="8" t="s">
        <v>2451</v>
      </c>
      <c r="G120" s="8" t="s">
        <v>2451</v>
      </c>
    </row>
    <row r="121" spans="1:7" outlineLevel="2" x14ac:dyDescent="0.35">
      <c r="A121" s="8" t="s">
        <v>2451</v>
      </c>
      <c r="B121" s="8" t="s">
        <v>2451</v>
      </c>
      <c r="C121" s="8"/>
      <c r="D121" s="8" t="s">
        <v>2023</v>
      </c>
      <c r="E121" s="8" t="s">
        <v>2451</v>
      </c>
      <c r="F121" s="8" t="s">
        <v>2451</v>
      </c>
      <c r="G121" s="8" t="s">
        <v>2451</v>
      </c>
    </row>
    <row r="122" spans="1:7" outlineLevel="2" x14ac:dyDescent="0.35">
      <c r="A122" s="8" t="s">
        <v>2451</v>
      </c>
      <c r="B122" s="8" t="s">
        <v>2451</v>
      </c>
      <c r="C122" s="8"/>
      <c r="D122" s="8" t="s">
        <v>2024</v>
      </c>
      <c r="E122" s="8" t="s">
        <v>2451</v>
      </c>
      <c r="F122" s="8" t="s">
        <v>2451</v>
      </c>
      <c r="G122" s="8" t="s">
        <v>2451</v>
      </c>
    </row>
    <row r="123" spans="1:7" outlineLevel="2" x14ac:dyDescent="0.35">
      <c r="A123" s="8" t="s">
        <v>2451</v>
      </c>
      <c r="B123" s="8" t="s">
        <v>2451</v>
      </c>
      <c r="C123" s="8"/>
      <c r="D123" s="8" t="s">
        <v>2025</v>
      </c>
      <c r="E123" s="8" t="s">
        <v>2451</v>
      </c>
      <c r="F123" s="8" t="s">
        <v>2451</v>
      </c>
      <c r="G123" s="8" t="s">
        <v>2451</v>
      </c>
    </row>
    <row r="124" spans="1:7" outlineLevel="2" x14ac:dyDescent="0.35">
      <c r="A124" s="8" t="s">
        <v>2451</v>
      </c>
      <c r="B124" s="8" t="s">
        <v>2451</v>
      </c>
      <c r="C124" s="8"/>
      <c r="D124" s="8" t="s">
        <v>2026</v>
      </c>
      <c r="E124" s="8" t="s">
        <v>2451</v>
      </c>
      <c r="F124" s="8" t="s">
        <v>2451</v>
      </c>
      <c r="G124" s="8" t="s">
        <v>2451</v>
      </c>
    </row>
    <row r="125" spans="1:7" outlineLevel="1" x14ac:dyDescent="0.35">
      <c r="A125" s="8" t="s">
        <v>39</v>
      </c>
      <c r="B125" s="8" t="s">
        <v>437</v>
      </c>
      <c r="C125" s="8">
        <v>3</v>
      </c>
      <c r="D125" s="8" t="s">
        <v>2451</v>
      </c>
      <c r="E125" s="8" t="s">
        <v>2451</v>
      </c>
      <c r="F125" s="8" t="s">
        <v>2451</v>
      </c>
      <c r="G125" s="8" t="s">
        <v>2451</v>
      </c>
    </row>
    <row r="126" spans="1:7" outlineLevel="2" x14ac:dyDescent="0.35">
      <c r="A126" s="8" t="s">
        <v>2451</v>
      </c>
      <c r="B126" s="8" t="s">
        <v>2451</v>
      </c>
      <c r="C126" s="8"/>
      <c r="D126" s="8" t="s">
        <v>2014</v>
      </c>
      <c r="E126" s="8" t="s">
        <v>2451</v>
      </c>
      <c r="F126" s="8" t="s">
        <v>2451</v>
      </c>
      <c r="G126" s="8" t="s">
        <v>2451</v>
      </c>
    </row>
    <row r="127" spans="1:7" outlineLevel="2" x14ac:dyDescent="0.35">
      <c r="A127" s="8" t="s">
        <v>2451</v>
      </c>
      <c r="B127" s="8" t="s">
        <v>2451</v>
      </c>
      <c r="C127" s="8"/>
      <c r="D127" s="8" t="s">
        <v>2015</v>
      </c>
      <c r="E127" s="8" t="s">
        <v>2451</v>
      </c>
      <c r="F127" s="8" t="s">
        <v>2451</v>
      </c>
      <c r="G127" s="8" t="s">
        <v>2451</v>
      </c>
    </row>
    <row r="128" spans="1:7" outlineLevel="2" x14ac:dyDescent="0.35">
      <c r="A128" s="8" t="s">
        <v>2451</v>
      </c>
      <c r="B128" s="8" t="s">
        <v>2451</v>
      </c>
      <c r="C128" s="8"/>
      <c r="D128" s="8" t="s">
        <v>2016</v>
      </c>
      <c r="E128" s="8" t="s">
        <v>2451</v>
      </c>
      <c r="F128" s="8" t="s">
        <v>2451</v>
      </c>
      <c r="G128" s="8" t="s">
        <v>2451</v>
      </c>
    </row>
    <row r="129" spans="1:7" outlineLevel="1" x14ac:dyDescent="0.35">
      <c r="A129" s="8" t="s">
        <v>39</v>
      </c>
      <c r="B129" s="8" t="s">
        <v>440</v>
      </c>
      <c r="C129" s="8">
        <v>5</v>
      </c>
      <c r="D129" s="8" t="s">
        <v>2451</v>
      </c>
      <c r="E129" s="8" t="s">
        <v>2451</v>
      </c>
      <c r="F129" s="8" t="s">
        <v>2451</v>
      </c>
      <c r="G129" s="8" t="s">
        <v>2451</v>
      </c>
    </row>
    <row r="130" spans="1:7" outlineLevel="2" x14ac:dyDescent="0.35">
      <c r="A130" s="8" t="s">
        <v>2451</v>
      </c>
      <c r="B130" s="8" t="s">
        <v>2451</v>
      </c>
      <c r="C130" s="8"/>
      <c r="D130" s="8" t="s">
        <v>2009</v>
      </c>
      <c r="E130" s="8" t="s">
        <v>2451</v>
      </c>
      <c r="F130" s="8" t="s">
        <v>2451</v>
      </c>
      <c r="G130" s="8" t="s">
        <v>2451</v>
      </c>
    </row>
    <row r="131" spans="1:7" outlineLevel="2" x14ac:dyDescent="0.35">
      <c r="A131" s="8" t="s">
        <v>2451</v>
      </c>
      <c r="B131" s="8" t="s">
        <v>2451</v>
      </c>
      <c r="C131" s="8"/>
      <c r="D131" s="8" t="s">
        <v>2010</v>
      </c>
      <c r="E131" s="8" t="s">
        <v>2451</v>
      </c>
      <c r="F131" s="8" t="s">
        <v>2451</v>
      </c>
      <c r="G131" s="8" t="s">
        <v>2451</v>
      </c>
    </row>
    <row r="132" spans="1:7" outlineLevel="2" x14ac:dyDescent="0.35">
      <c r="A132" s="8" t="s">
        <v>2451</v>
      </c>
      <c r="B132" s="8" t="s">
        <v>2451</v>
      </c>
      <c r="C132" s="8"/>
      <c r="D132" s="8" t="s">
        <v>2011</v>
      </c>
      <c r="E132" s="8" t="s">
        <v>2451</v>
      </c>
      <c r="F132" s="8" t="s">
        <v>2451</v>
      </c>
      <c r="G132" s="8" t="s">
        <v>2451</v>
      </c>
    </row>
    <row r="133" spans="1:7" outlineLevel="2" x14ac:dyDescent="0.35">
      <c r="A133" s="8" t="s">
        <v>2451</v>
      </c>
      <c r="B133" s="8" t="s">
        <v>2451</v>
      </c>
      <c r="C133" s="8"/>
      <c r="D133" s="8" t="s">
        <v>2012</v>
      </c>
      <c r="E133" s="8" t="s">
        <v>2451</v>
      </c>
      <c r="F133" s="8" t="s">
        <v>2451</v>
      </c>
      <c r="G133" s="8" t="s">
        <v>2451</v>
      </c>
    </row>
    <row r="134" spans="1:7" outlineLevel="2" x14ac:dyDescent="0.35">
      <c r="A134" s="8" t="s">
        <v>2451</v>
      </c>
      <c r="B134" s="8" t="s">
        <v>2451</v>
      </c>
      <c r="C134" s="8"/>
      <c r="D134" s="8" t="s">
        <v>2013</v>
      </c>
      <c r="E134" s="8" t="s">
        <v>2451</v>
      </c>
      <c r="F134" s="8" t="s">
        <v>2451</v>
      </c>
      <c r="G134" s="8" t="s">
        <v>2451</v>
      </c>
    </row>
    <row r="135" spans="1:7" outlineLevel="1" x14ac:dyDescent="0.35">
      <c r="A135" s="8" t="s">
        <v>156</v>
      </c>
      <c r="B135" s="8" t="s">
        <v>443</v>
      </c>
      <c r="C135" s="8">
        <v>1</v>
      </c>
      <c r="D135" s="8" t="s">
        <v>2451</v>
      </c>
      <c r="E135" s="8" t="s">
        <v>2451</v>
      </c>
      <c r="F135" s="8" t="s">
        <v>2451</v>
      </c>
      <c r="G135" s="8" t="s">
        <v>2451</v>
      </c>
    </row>
    <row r="136" spans="1:7" outlineLevel="1" x14ac:dyDescent="0.35">
      <c r="A136" s="8" t="s">
        <v>2451</v>
      </c>
      <c r="B136" s="8" t="s">
        <v>2451</v>
      </c>
      <c r="C136" s="8"/>
      <c r="D136" s="8" t="s">
        <v>2008</v>
      </c>
      <c r="E136" s="8" t="s">
        <v>2451</v>
      </c>
      <c r="F136" s="8" t="s">
        <v>2451</v>
      </c>
      <c r="G136" s="8" t="s">
        <v>2451</v>
      </c>
    </row>
    <row r="137" spans="1:7" outlineLevel="1" x14ac:dyDescent="0.35">
      <c r="A137" s="8" t="s">
        <v>49</v>
      </c>
      <c r="B137" s="8" t="s">
        <v>447</v>
      </c>
      <c r="C137" s="8">
        <v>1</v>
      </c>
      <c r="D137" s="8" t="s">
        <v>2451</v>
      </c>
      <c r="E137" s="8" t="s">
        <v>2451</v>
      </c>
      <c r="F137" s="8" t="s">
        <v>2451</v>
      </c>
      <c r="G137" s="8" t="s">
        <v>2451</v>
      </c>
    </row>
    <row r="138" spans="1:7" outlineLevel="1" x14ac:dyDescent="0.35">
      <c r="A138" s="8" t="s">
        <v>2451</v>
      </c>
      <c r="B138" s="8" t="s">
        <v>2451</v>
      </c>
      <c r="C138" s="8"/>
      <c r="D138" s="8" t="s">
        <v>2007</v>
      </c>
      <c r="E138" s="8" t="s">
        <v>2451</v>
      </c>
      <c r="F138" s="8" t="s">
        <v>2451</v>
      </c>
      <c r="G138" s="8" t="s">
        <v>2451</v>
      </c>
    </row>
    <row r="139" spans="1:7" outlineLevel="1" x14ac:dyDescent="0.35">
      <c r="A139" s="8" t="s">
        <v>49</v>
      </c>
      <c r="B139" s="8" t="s">
        <v>451</v>
      </c>
      <c r="C139" s="8">
        <v>6</v>
      </c>
      <c r="D139" s="8" t="s">
        <v>2451</v>
      </c>
      <c r="E139" s="8" t="s">
        <v>2451</v>
      </c>
      <c r="F139" s="8" t="s">
        <v>2451</v>
      </c>
      <c r="G139" s="8" t="s">
        <v>2451</v>
      </c>
    </row>
    <row r="140" spans="1:7" outlineLevel="2" x14ac:dyDescent="0.35">
      <c r="A140" s="8" t="s">
        <v>2451</v>
      </c>
      <c r="B140" s="8" t="s">
        <v>2451</v>
      </c>
      <c r="C140" s="8"/>
      <c r="D140" s="8" t="s">
        <v>2001</v>
      </c>
      <c r="E140" s="8" t="s">
        <v>2451</v>
      </c>
      <c r="F140" s="8" t="s">
        <v>2451</v>
      </c>
      <c r="G140" s="8" t="s">
        <v>2451</v>
      </c>
    </row>
    <row r="141" spans="1:7" outlineLevel="2" x14ac:dyDescent="0.35">
      <c r="A141" s="8" t="s">
        <v>2451</v>
      </c>
      <c r="B141" s="8" t="s">
        <v>2451</v>
      </c>
      <c r="C141" s="8"/>
      <c r="D141" s="8" t="s">
        <v>2002</v>
      </c>
      <c r="E141" s="8" t="s">
        <v>2451</v>
      </c>
      <c r="F141" s="8" t="s">
        <v>2451</v>
      </c>
      <c r="G141" s="8" t="s">
        <v>2451</v>
      </c>
    </row>
    <row r="142" spans="1:7" outlineLevel="2" x14ac:dyDescent="0.35">
      <c r="A142" s="8" t="s">
        <v>2451</v>
      </c>
      <c r="B142" s="8" t="s">
        <v>2451</v>
      </c>
      <c r="C142" s="8"/>
      <c r="D142" s="8" t="s">
        <v>2003</v>
      </c>
      <c r="E142" s="8" t="s">
        <v>2451</v>
      </c>
      <c r="F142" s="8" t="s">
        <v>2451</v>
      </c>
      <c r="G142" s="8" t="s">
        <v>2451</v>
      </c>
    </row>
    <row r="143" spans="1:7" outlineLevel="2" x14ac:dyDescent="0.35">
      <c r="A143" s="8" t="s">
        <v>2451</v>
      </c>
      <c r="B143" s="8" t="s">
        <v>2451</v>
      </c>
      <c r="C143" s="8"/>
      <c r="D143" s="8" t="s">
        <v>2004</v>
      </c>
      <c r="E143" s="8" t="s">
        <v>2451</v>
      </c>
      <c r="F143" s="8" t="s">
        <v>2451</v>
      </c>
      <c r="G143" s="8" t="s">
        <v>2451</v>
      </c>
    </row>
    <row r="144" spans="1:7" outlineLevel="2" x14ac:dyDescent="0.35">
      <c r="A144" s="8" t="s">
        <v>2451</v>
      </c>
      <c r="B144" s="8" t="s">
        <v>2451</v>
      </c>
      <c r="C144" s="8"/>
      <c r="D144" s="8" t="s">
        <v>2005</v>
      </c>
      <c r="E144" s="8" t="s">
        <v>2451</v>
      </c>
      <c r="F144" s="8" t="s">
        <v>2451</v>
      </c>
      <c r="G144" s="8" t="s">
        <v>2451</v>
      </c>
    </row>
    <row r="145" spans="1:7" outlineLevel="2" x14ac:dyDescent="0.35">
      <c r="A145" s="8" t="s">
        <v>2451</v>
      </c>
      <c r="B145" s="8" t="s">
        <v>2451</v>
      </c>
      <c r="C145" s="8"/>
      <c r="D145" s="8" t="s">
        <v>2006</v>
      </c>
      <c r="E145" s="8" t="s">
        <v>2451</v>
      </c>
      <c r="F145" s="8" t="s">
        <v>2451</v>
      </c>
      <c r="G145" s="8" t="s">
        <v>2451</v>
      </c>
    </row>
    <row r="146" spans="1:7" outlineLevel="1" x14ac:dyDescent="0.35">
      <c r="A146" s="8" t="s">
        <v>55</v>
      </c>
      <c r="B146" s="8" t="s">
        <v>455</v>
      </c>
      <c r="C146" s="8">
        <v>2</v>
      </c>
      <c r="D146" s="8" t="s">
        <v>2451</v>
      </c>
      <c r="E146" s="8" t="s">
        <v>2451</v>
      </c>
      <c r="F146" s="8" t="s">
        <v>2451</v>
      </c>
      <c r="G146" s="8" t="s">
        <v>2451</v>
      </c>
    </row>
    <row r="147" spans="1:7" outlineLevel="2" x14ac:dyDescent="0.35">
      <c r="A147" s="8" t="s">
        <v>2451</v>
      </c>
      <c r="B147" s="8" t="s">
        <v>2451</v>
      </c>
      <c r="C147" s="8"/>
      <c r="D147" s="8" t="s">
        <v>1999</v>
      </c>
      <c r="E147" s="8" t="s">
        <v>2451</v>
      </c>
      <c r="F147" s="8" t="s">
        <v>2451</v>
      </c>
      <c r="G147" s="8" t="s">
        <v>2451</v>
      </c>
    </row>
    <row r="148" spans="1:7" outlineLevel="2" x14ac:dyDescent="0.35">
      <c r="A148" s="8" t="s">
        <v>2451</v>
      </c>
      <c r="B148" s="8" t="s">
        <v>2451</v>
      </c>
      <c r="C148" s="8"/>
      <c r="D148" s="8" t="s">
        <v>2000</v>
      </c>
      <c r="E148" s="8" t="s">
        <v>2451</v>
      </c>
      <c r="F148" s="8" t="s">
        <v>2451</v>
      </c>
      <c r="G148" s="8" t="s">
        <v>2451</v>
      </c>
    </row>
    <row r="149" spans="1:7" outlineLevel="1" x14ac:dyDescent="0.35">
      <c r="A149" s="8" t="s">
        <v>55</v>
      </c>
      <c r="B149" s="8" t="s">
        <v>459</v>
      </c>
      <c r="C149" s="8">
        <v>1</v>
      </c>
      <c r="D149" s="8" t="s">
        <v>2451</v>
      </c>
      <c r="E149" s="8" t="s">
        <v>2451</v>
      </c>
      <c r="F149" s="8" t="s">
        <v>2451</v>
      </c>
      <c r="G149" s="8" t="s">
        <v>2451</v>
      </c>
    </row>
    <row r="150" spans="1:7" outlineLevel="1" x14ac:dyDescent="0.35">
      <c r="A150" s="8" t="s">
        <v>2451</v>
      </c>
      <c r="B150" s="8" t="s">
        <v>2451</v>
      </c>
      <c r="C150" s="8"/>
      <c r="D150" s="8" t="s">
        <v>1998</v>
      </c>
      <c r="E150" s="8" t="s">
        <v>2451</v>
      </c>
      <c r="F150" s="8" t="s">
        <v>2451</v>
      </c>
      <c r="G150" s="8" t="s">
        <v>2451</v>
      </c>
    </row>
    <row r="151" spans="1:7" outlineLevel="1" x14ac:dyDescent="0.35">
      <c r="A151" s="8" t="s">
        <v>55</v>
      </c>
      <c r="B151" s="8" t="s">
        <v>463</v>
      </c>
      <c r="C151" s="8">
        <v>9</v>
      </c>
      <c r="D151" s="8" t="s">
        <v>2451</v>
      </c>
      <c r="E151" s="8" t="s">
        <v>2451</v>
      </c>
      <c r="F151" s="8" t="s">
        <v>2451</v>
      </c>
      <c r="G151" s="8" t="s">
        <v>2451</v>
      </c>
    </row>
    <row r="152" spans="1:7" outlineLevel="2" x14ac:dyDescent="0.35">
      <c r="A152" s="8" t="s">
        <v>2451</v>
      </c>
      <c r="B152" s="8" t="s">
        <v>2451</v>
      </c>
      <c r="C152" s="8"/>
      <c r="D152" s="8" t="s">
        <v>1989</v>
      </c>
      <c r="E152" s="8" t="s">
        <v>2451</v>
      </c>
      <c r="F152" s="8" t="s">
        <v>2451</v>
      </c>
      <c r="G152" s="8" t="s">
        <v>2451</v>
      </c>
    </row>
    <row r="153" spans="1:7" outlineLevel="2" x14ac:dyDescent="0.35">
      <c r="A153" s="8" t="s">
        <v>2451</v>
      </c>
      <c r="B153" s="8" t="s">
        <v>2451</v>
      </c>
      <c r="C153" s="8"/>
      <c r="D153" s="8" t="s">
        <v>1990</v>
      </c>
      <c r="E153" s="8" t="s">
        <v>2451</v>
      </c>
      <c r="F153" s="8" t="s">
        <v>2451</v>
      </c>
      <c r="G153" s="8" t="s">
        <v>2451</v>
      </c>
    </row>
    <row r="154" spans="1:7" outlineLevel="2" x14ac:dyDescent="0.35">
      <c r="A154" s="8" t="s">
        <v>2451</v>
      </c>
      <c r="B154" s="8" t="s">
        <v>2451</v>
      </c>
      <c r="C154" s="8"/>
      <c r="D154" s="8" t="s">
        <v>1991</v>
      </c>
      <c r="E154" s="8" t="s">
        <v>2451</v>
      </c>
      <c r="F154" s="8" t="s">
        <v>2451</v>
      </c>
      <c r="G154" s="8" t="s">
        <v>2451</v>
      </c>
    </row>
    <row r="155" spans="1:7" outlineLevel="2" x14ac:dyDescent="0.35">
      <c r="A155" s="8" t="s">
        <v>2451</v>
      </c>
      <c r="B155" s="8" t="s">
        <v>2451</v>
      </c>
      <c r="C155" s="8"/>
      <c r="D155" s="8" t="s">
        <v>1992</v>
      </c>
      <c r="E155" s="8" t="s">
        <v>2451</v>
      </c>
      <c r="F155" s="8" t="s">
        <v>2451</v>
      </c>
      <c r="G155" s="8" t="s">
        <v>2451</v>
      </c>
    </row>
    <row r="156" spans="1:7" outlineLevel="2" x14ac:dyDescent="0.35">
      <c r="A156" s="8" t="s">
        <v>2451</v>
      </c>
      <c r="B156" s="8" t="s">
        <v>2451</v>
      </c>
      <c r="C156" s="8"/>
      <c r="D156" s="8" t="s">
        <v>1993</v>
      </c>
      <c r="E156" s="8" t="s">
        <v>2451</v>
      </c>
      <c r="F156" s="8" t="s">
        <v>2451</v>
      </c>
      <c r="G156" s="8" t="s">
        <v>2451</v>
      </c>
    </row>
    <row r="157" spans="1:7" outlineLevel="2" x14ac:dyDescent="0.35">
      <c r="A157" s="8" t="s">
        <v>2451</v>
      </c>
      <c r="B157" s="8" t="s">
        <v>2451</v>
      </c>
      <c r="C157" s="8"/>
      <c r="D157" s="8" t="s">
        <v>1994</v>
      </c>
      <c r="E157" s="8" t="s">
        <v>2451</v>
      </c>
      <c r="F157" s="8" t="s">
        <v>2451</v>
      </c>
      <c r="G157" s="8" t="s">
        <v>2451</v>
      </c>
    </row>
    <row r="158" spans="1:7" outlineLevel="2" x14ac:dyDescent="0.35">
      <c r="A158" s="8" t="s">
        <v>2451</v>
      </c>
      <c r="B158" s="8" t="s">
        <v>2451</v>
      </c>
      <c r="C158" s="8"/>
      <c r="D158" s="8" t="s">
        <v>1995</v>
      </c>
      <c r="E158" s="8" t="s">
        <v>2451</v>
      </c>
      <c r="F158" s="8" t="s">
        <v>2451</v>
      </c>
      <c r="G158" s="8" t="s">
        <v>2451</v>
      </c>
    </row>
    <row r="159" spans="1:7" outlineLevel="2" x14ac:dyDescent="0.35">
      <c r="A159" s="8" t="s">
        <v>2451</v>
      </c>
      <c r="B159" s="8" t="s">
        <v>2451</v>
      </c>
      <c r="C159" s="8"/>
      <c r="D159" s="8" t="s">
        <v>1996</v>
      </c>
      <c r="E159" s="8" t="s">
        <v>2451</v>
      </c>
      <c r="F159" s="8" t="s">
        <v>2451</v>
      </c>
      <c r="G159" s="8" t="s">
        <v>2451</v>
      </c>
    </row>
    <row r="160" spans="1:7" outlineLevel="2" x14ac:dyDescent="0.35">
      <c r="A160" s="8" t="s">
        <v>2451</v>
      </c>
      <c r="B160" s="8" t="s">
        <v>2451</v>
      </c>
      <c r="C160" s="8"/>
      <c r="D160" s="8" t="s">
        <v>1997</v>
      </c>
      <c r="E160" s="8" t="s">
        <v>2451</v>
      </c>
      <c r="F160" s="8" t="s">
        <v>2451</v>
      </c>
      <c r="G160" s="8" t="s">
        <v>2451</v>
      </c>
    </row>
    <row r="161" spans="1:7" outlineLevel="1" x14ac:dyDescent="0.35">
      <c r="A161" s="8" t="s">
        <v>55</v>
      </c>
      <c r="B161" s="8" t="s">
        <v>467</v>
      </c>
      <c r="C161" s="8">
        <v>4</v>
      </c>
      <c r="D161" s="8" t="s">
        <v>2451</v>
      </c>
      <c r="E161" s="8" t="s">
        <v>2451</v>
      </c>
      <c r="F161" s="8" t="s">
        <v>2451</v>
      </c>
      <c r="G161" s="8" t="s">
        <v>2451</v>
      </c>
    </row>
    <row r="162" spans="1:7" outlineLevel="2" x14ac:dyDescent="0.35">
      <c r="A162" s="8" t="s">
        <v>2451</v>
      </c>
      <c r="B162" s="8" t="s">
        <v>2451</v>
      </c>
      <c r="C162" s="8"/>
      <c r="D162" s="8" t="s">
        <v>1985</v>
      </c>
      <c r="E162" s="8" t="s">
        <v>2451</v>
      </c>
      <c r="F162" s="8" t="s">
        <v>2451</v>
      </c>
      <c r="G162" s="8" t="s">
        <v>2451</v>
      </c>
    </row>
    <row r="163" spans="1:7" outlineLevel="2" x14ac:dyDescent="0.35">
      <c r="A163" s="8" t="s">
        <v>2451</v>
      </c>
      <c r="B163" s="8" t="s">
        <v>2451</v>
      </c>
      <c r="C163" s="8"/>
      <c r="D163" s="8" t="s">
        <v>1986</v>
      </c>
      <c r="E163" s="8" t="s">
        <v>2451</v>
      </c>
      <c r="F163" s="8" t="s">
        <v>2451</v>
      </c>
      <c r="G163" s="8" t="s">
        <v>2451</v>
      </c>
    </row>
    <row r="164" spans="1:7" outlineLevel="2" x14ac:dyDescent="0.35">
      <c r="A164" s="8" t="s">
        <v>2451</v>
      </c>
      <c r="B164" s="8" t="s">
        <v>2451</v>
      </c>
      <c r="C164" s="8"/>
      <c r="D164" s="8" t="s">
        <v>1987</v>
      </c>
      <c r="E164" s="8" t="s">
        <v>2451</v>
      </c>
      <c r="F164" s="8" t="s">
        <v>2451</v>
      </c>
      <c r="G164" s="8" t="s">
        <v>2451</v>
      </c>
    </row>
    <row r="165" spans="1:7" outlineLevel="2" x14ac:dyDescent="0.35">
      <c r="A165" s="8" t="s">
        <v>2451</v>
      </c>
      <c r="B165" s="8" t="s">
        <v>2451</v>
      </c>
      <c r="C165" s="8"/>
      <c r="D165" s="8" t="s">
        <v>1988</v>
      </c>
      <c r="E165" s="8" t="s">
        <v>2451</v>
      </c>
      <c r="F165" s="8" t="s">
        <v>2451</v>
      </c>
      <c r="G165" s="8" t="s">
        <v>2451</v>
      </c>
    </row>
    <row r="166" spans="1:7" outlineLevel="1" x14ac:dyDescent="0.35">
      <c r="A166" s="8" t="s">
        <v>55</v>
      </c>
      <c r="B166" s="8" t="s">
        <v>471</v>
      </c>
      <c r="C166" s="8">
        <v>8</v>
      </c>
      <c r="D166" s="8" t="s">
        <v>2451</v>
      </c>
      <c r="E166" s="8" t="s">
        <v>2451</v>
      </c>
      <c r="F166" s="8" t="s">
        <v>2451</v>
      </c>
      <c r="G166" s="8" t="s">
        <v>2451</v>
      </c>
    </row>
    <row r="167" spans="1:7" outlineLevel="2" x14ac:dyDescent="0.35">
      <c r="A167" s="8" t="s">
        <v>2451</v>
      </c>
      <c r="B167" s="8" t="s">
        <v>2451</v>
      </c>
      <c r="C167" s="8"/>
      <c r="D167" s="8" t="s">
        <v>1977</v>
      </c>
      <c r="E167" s="8" t="s">
        <v>2451</v>
      </c>
      <c r="F167" s="8" t="s">
        <v>2451</v>
      </c>
      <c r="G167" s="8" t="s">
        <v>2451</v>
      </c>
    </row>
    <row r="168" spans="1:7" outlineLevel="2" x14ac:dyDescent="0.35">
      <c r="A168" s="8" t="s">
        <v>2451</v>
      </c>
      <c r="B168" s="8" t="s">
        <v>2451</v>
      </c>
      <c r="C168" s="8"/>
      <c r="D168" s="8" t="s">
        <v>1978</v>
      </c>
      <c r="E168" s="8" t="s">
        <v>2451</v>
      </c>
      <c r="F168" s="8" t="s">
        <v>2451</v>
      </c>
      <c r="G168" s="8" t="s">
        <v>2451</v>
      </c>
    </row>
    <row r="169" spans="1:7" outlineLevel="2" x14ac:dyDescent="0.35">
      <c r="A169" s="8" t="s">
        <v>2451</v>
      </c>
      <c r="B169" s="8" t="s">
        <v>2451</v>
      </c>
      <c r="C169" s="8"/>
      <c r="D169" s="8" t="s">
        <v>1979</v>
      </c>
      <c r="E169" s="8" t="s">
        <v>2451</v>
      </c>
      <c r="F169" s="8" t="s">
        <v>2451</v>
      </c>
      <c r="G169" s="8" t="s">
        <v>2451</v>
      </c>
    </row>
    <row r="170" spans="1:7" outlineLevel="2" x14ac:dyDescent="0.35">
      <c r="A170" s="8" t="s">
        <v>2451</v>
      </c>
      <c r="B170" s="8" t="s">
        <v>2451</v>
      </c>
      <c r="C170" s="8"/>
      <c r="D170" s="8" t="s">
        <v>1980</v>
      </c>
      <c r="E170" s="8" t="s">
        <v>2451</v>
      </c>
      <c r="F170" s="8" t="s">
        <v>2451</v>
      </c>
      <c r="G170" s="8" t="s">
        <v>2451</v>
      </c>
    </row>
    <row r="171" spans="1:7" outlineLevel="2" x14ac:dyDescent="0.35">
      <c r="A171" s="8" t="s">
        <v>2451</v>
      </c>
      <c r="B171" s="8" t="s">
        <v>2451</v>
      </c>
      <c r="C171" s="8"/>
      <c r="D171" s="8" t="s">
        <v>1981</v>
      </c>
      <c r="E171" s="8" t="s">
        <v>2451</v>
      </c>
      <c r="F171" s="8" t="s">
        <v>2451</v>
      </c>
      <c r="G171" s="8" t="s">
        <v>2451</v>
      </c>
    </row>
    <row r="172" spans="1:7" outlineLevel="2" x14ac:dyDescent="0.35">
      <c r="A172" s="8" t="s">
        <v>2451</v>
      </c>
      <c r="B172" s="8" t="s">
        <v>2451</v>
      </c>
      <c r="C172" s="8"/>
      <c r="D172" s="8" t="s">
        <v>1982</v>
      </c>
      <c r="E172" s="8" t="s">
        <v>2451</v>
      </c>
      <c r="F172" s="8" t="s">
        <v>2451</v>
      </c>
      <c r="G172" s="8" t="s">
        <v>2451</v>
      </c>
    </row>
    <row r="173" spans="1:7" outlineLevel="2" x14ac:dyDescent="0.35">
      <c r="A173" s="8" t="s">
        <v>2451</v>
      </c>
      <c r="B173" s="8" t="s">
        <v>2451</v>
      </c>
      <c r="C173" s="8"/>
      <c r="D173" s="8" t="s">
        <v>1983</v>
      </c>
      <c r="E173" s="8" t="s">
        <v>2451</v>
      </c>
      <c r="F173" s="8" t="s">
        <v>2451</v>
      </c>
      <c r="G173" s="8" t="s">
        <v>2451</v>
      </c>
    </row>
    <row r="174" spans="1:7" outlineLevel="2" x14ac:dyDescent="0.35">
      <c r="A174" s="8" t="s">
        <v>2451</v>
      </c>
      <c r="B174" s="8" t="s">
        <v>2451</v>
      </c>
      <c r="C174" s="8"/>
      <c r="D174" s="8" t="s">
        <v>1984</v>
      </c>
      <c r="E174" s="8" t="s">
        <v>2451</v>
      </c>
      <c r="F174" s="8" t="s">
        <v>2451</v>
      </c>
      <c r="G174" s="8" t="s">
        <v>2451</v>
      </c>
    </row>
    <row r="175" spans="1:7" outlineLevel="1" x14ac:dyDescent="0.35">
      <c r="A175" s="8" t="s">
        <v>55</v>
      </c>
      <c r="B175" s="8" t="s">
        <v>474</v>
      </c>
      <c r="C175" s="8">
        <v>7</v>
      </c>
      <c r="D175" s="8" t="s">
        <v>2451</v>
      </c>
      <c r="E175" s="8" t="s">
        <v>2451</v>
      </c>
      <c r="F175" s="8" t="s">
        <v>2451</v>
      </c>
      <c r="G175" s="8" t="s">
        <v>2451</v>
      </c>
    </row>
    <row r="176" spans="1:7" outlineLevel="2" x14ac:dyDescent="0.35">
      <c r="A176" s="8" t="s">
        <v>2451</v>
      </c>
      <c r="B176" s="8" t="s">
        <v>2451</v>
      </c>
      <c r="C176" s="8"/>
      <c r="D176" s="8" t="s">
        <v>1970</v>
      </c>
      <c r="E176" s="8" t="s">
        <v>2451</v>
      </c>
      <c r="F176" s="8" t="s">
        <v>2451</v>
      </c>
      <c r="G176" s="8" t="s">
        <v>2451</v>
      </c>
    </row>
    <row r="177" spans="1:7" outlineLevel="2" x14ac:dyDescent="0.35">
      <c r="A177" s="8" t="s">
        <v>2451</v>
      </c>
      <c r="B177" s="8" t="s">
        <v>2451</v>
      </c>
      <c r="C177" s="8"/>
      <c r="D177" s="8" t="s">
        <v>1971</v>
      </c>
      <c r="E177" s="8" t="s">
        <v>2451</v>
      </c>
      <c r="F177" s="8" t="s">
        <v>2451</v>
      </c>
      <c r="G177" s="8" t="s">
        <v>2451</v>
      </c>
    </row>
    <row r="178" spans="1:7" outlineLevel="2" x14ac:dyDescent="0.35">
      <c r="A178" s="8" t="s">
        <v>2451</v>
      </c>
      <c r="B178" s="8" t="s">
        <v>2451</v>
      </c>
      <c r="C178" s="8"/>
      <c r="D178" s="8" t="s">
        <v>1972</v>
      </c>
      <c r="E178" s="8" t="s">
        <v>2451</v>
      </c>
      <c r="F178" s="8" t="s">
        <v>2451</v>
      </c>
      <c r="G178" s="8" t="s">
        <v>2451</v>
      </c>
    </row>
    <row r="179" spans="1:7" outlineLevel="2" x14ac:dyDescent="0.35">
      <c r="A179" s="8" t="s">
        <v>2451</v>
      </c>
      <c r="B179" s="8" t="s">
        <v>2451</v>
      </c>
      <c r="C179" s="8"/>
      <c r="D179" s="8" t="s">
        <v>1973</v>
      </c>
      <c r="E179" s="8" t="s">
        <v>2451</v>
      </c>
      <c r="F179" s="8" t="s">
        <v>2451</v>
      </c>
      <c r="G179" s="8" t="s">
        <v>2451</v>
      </c>
    </row>
    <row r="180" spans="1:7" outlineLevel="2" x14ac:dyDescent="0.35">
      <c r="A180" s="8" t="s">
        <v>2451</v>
      </c>
      <c r="B180" s="8" t="s">
        <v>2451</v>
      </c>
      <c r="C180" s="8"/>
      <c r="D180" s="8" t="s">
        <v>1974</v>
      </c>
      <c r="E180" s="8" t="s">
        <v>2451</v>
      </c>
      <c r="F180" s="8" t="s">
        <v>2451</v>
      </c>
      <c r="G180" s="8" t="s">
        <v>2451</v>
      </c>
    </row>
    <row r="181" spans="1:7" outlineLevel="2" x14ac:dyDescent="0.35">
      <c r="A181" s="8" t="s">
        <v>2451</v>
      </c>
      <c r="B181" s="8" t="s">
        <v>2451</v>
      </c>
      <c r="C181" s="8"/>
      <c r="D181" s="8" t="s">
        <v>1975</v>
      </c>
      <c r="E181" s="8" t="s">
        <v>2451</v>
      </c>
      <c r="F181" s="8" t="s">
        <v>2451</v>
      </c>
      <c r="G181" s="8" t="s">
        <v>2451</v>
      </c>
    </row>
    <row r="182" spans="1:7" outlineLevel="2" x14ac:dyDescent="0.35">
      <c r="A182" s="8" t="s">
        <v>2451</v>
      </c>
      <c r="B182" s="8" t="s">
        <v>2451</v>
      </c>
      <c r="C182" s="8"/>
      <c r="D182" s="8" t="s">
        <v>1976</v>
      </c>
      <c r="E182" s="8" t="s">
        <v>2451</v>
      </c>
      <c r="F182" s="8" t="s">
        <v>2451</v>
      </c>
      <c r="G182" s="8" t="s">
        <v>2451</v>
      </c>
    </row>
    <row r="183" spans="1:7" outlineLevel="1" x14ac:dyDescent="0.35">
      <c r="A183" s="8" t="s">
        <v>55</v>
      </c>
      <c r="B183" s="8" t="s">
        <v>477</v>
      </c>
      <c r="C183" s="8">
        <v>3</v>
      </c>
      <c r="D183" s="8" t="s">
        <v>2451</v>
      </c>
      <c r="E183" s="8" t="s">
        <v>2451</v>
      </c>
      <c r="F183" s="8" t="s">
        <v>2451</v>
      </c>
      <c r="G183" s="8" t="s">
        <v>2451</v>
      </c>
    </row>
    <row r="184" spans="1:7" outlineLevel="2" x14ac:dyDescent="0.35">
      <c r="A184" s="8" t="s">
        <v>2451</v>
      </c>
      <c r="B184" s="8" t="s">
        <v>2451</v>
      </c>
      <c r="C184" s="8"/>
      <c r="D184" s="8" t="s">
        <v>1967</v>
      </c>
      <c r="E184" s="8" t="s">
        <v>2451</v>
      </c>
      <c r="F184" s="8" t="s">
        <v>2451</v>
      </c>
      <c r="G184" s="8" t="s">
        <v>2451</v>
      </c>
    </row>
    <row r="185" spans="1:7" outlineLevel="2" x14ac:dyDescent="0.35">
      <c r="A185" s="8" t="s">
        <v>2451</v>
      </c>
      <c r="B185" s="8" t="s">
        <v>2451</v>
      </c>
      <c r="C185" s="8"/>
      <c r="D185" s="8" t="s">
        <v>1968</v>
      </c>
      <c r="E185" s="8" t="s">
        <v>2451</v>
      </c>
      <c r="F185" s="8" t="s">
        <v>2451</v>
      </c>
      <c r="G185" s="8" t="s">
        <v>2451</v>
      </c>
    </row>
    <row r="186" spans="1:7" outlineLevel="2" x14ac:dyDescent="0.35">
      <c r="A186" s="8" t="s">
        <v>2451</v>
      </c>
      <c r="B186" s="8" t="s">
        <v>2451</v>
      </c>
      <c r="C186" s="8"/>
      <c r="D186" s="8" t="s">
        <v>1969</v>
      </c>
      <c r="E186" s="8" t="s">
        <v>2451</v>
      </c>
      <c r="F186" s="8" t="s">
        <v>2451</v>
      </c>
      <c r="G186" s="8" t="s">
        <v>2451</v>
      </c>
    </row>
    <row r="187" spans="1:7" outlineLevel="1" x14ac:dyDescent="0.35">
      <c r="A187" s="8" t="s">
        <v>55</v>
      </c>
      <c r="B187" s="8" t="s">
        <v>479</v>
      </c>
      <c r="C187" s="8">
        <v>7</v>
      </c>
      <c r="D187" s="8" t="s">
        <v>2451</v>
      </c>
      <c r="E187" s="8" t="s">
        <v>2451</v>
      </c>
      <c r="F187" s="8" t="s">
        <v>2451</v>
      </c>
      <c r="G187" s="8" t="s">
        <v>2451</v>
      </c>
    </row>
    <row r="188" spans="1:7" outlineLevel="2" x14ac:dyDescent="0.35">
      <c r="A188" s="8" t="s">
        <v>2451</v>
      </c>
      <c r="B188" s="8" t="s">
        <v>2451</v>
      </c>
      <c r="C188" s="8"/>
      <c r="D188" s="8" t="s">
        <v>1960</v>
      </c>
      <c r="E188" s="8" t="s">
        <v>2451</v>
      </c>
      <c r="F188" s="8" t="s">
        <v>2451</v>
      </c>
      <c r="G188" s="8" t="s">
        <v>2451</v>
      </c>
    </row>
    <row r="189" spans="1:7" outlineLevel="2" x14ac:dyDescent="0.35">
      <c r="A189" s="8" t="s">
        <v>2451</v>
      </c>
      <c r="B189" s="8" t="s">
        <v>2451</v>
      </c>
      <c r="C189" s="8"/>
      <c r="D189" s="8" t="s">
        <v>1961</v>
      </c>
      <c r="E189" s="8" t="s">
        <v>2451</v>
      </c>
      <c r="F189" s="8" t="s">
        <v>2451</v>
      </c>
      <c r="G189" s="8" t="s">
        <v>2451</v>
      </c>
    </row>
    <row r="190" spans="1:7" outlineLevel="2" x14ac:dyDescent="0.35">
      <c r="A190" s="8" t="s">
        <v>2451</v>
      </c>
      <c r="B190" s="8" t="s">
        <v>2451</v>
      </c>
      <c r="C190" s="8"/>
      <c r="D190" s="8" t="s">
        <v>1962</v>
      </c>
      <c r="E190" s="8" t="s">
        <v>2451</v>
      </c>
      <c r="F190" s="8" t="s">
        <v>2451</v>
      </c>
      <c r="G190" s="8" t="s">
        <v>2451</v>
      </c>
    </row>
    <row r="191" spans="1:7" outlineLevel="2" x14ac:dyDescent="0.35">
      <c r="A191" s="8" t="s">
        <v>2451</v>
      </c>
      <c r="B191" s="8" t="s">
        <v>2451</v>
      </c>
      <c r="C191" s="8"/>
      <c r="D191" s="8" t="s">
        <v>1963</v>
      </c>
      <c r="E191" s="8" t="s">
        <v>2451</v>
      </c>
      <c r="F191" s="8" t="s">
        <v>2451</v>
      </c>
      <c r="G191" s="8" t="s">
        <v>2451</v>
      </c>
    </row>
    <row r="192" spans="1:7" outlineLevel="2" x14ac:dyDescent="0.35">
      <c r="A192" s="8" t="s">
        <v>2451</v>
      </c>
      <c r="B192" s="8" t="s">
        <v>2451</v>
      </c>
      <c r="C192" s="8"/>
      <c r="D192" s="8" t="s">
        <v>1964</v>
      </c>
      <c r="E192" s="8" t="s">
        <v>2451</v>
      </c>
      <c r="F192" s="8" t="s">
        <v>2451</v>
      </c>
      <c r="G192" s="8" t="s">
        <v>2451</v>
      </c>
    </row>
    <row r="193" spans="1:7" outlineLevel="2" x14ac:dyDescent="0.35">
      <c r="A193" s="8" t="s">
        <v>2451</v>
      </c>
      <c r="B193" s="8" t="s">
        <v>2451</v>
      </c>
      <c r="C193" s="8"/>
      <c r="D193" s="8" t="s">
        <v>1965</v>
      </c>
      <c r="E193" s="8" t="s">
        <v>2451</v>
      </c>
      <c r="F193" s="8" t="s">
        <v>2451</v>
      </c>
      <c r="G193" s="8" t="s">
        <v>2451</v>
      </c>
    </row>
    <row r="194" spans="1:7" outlineLevel="2" x14ac:dyDescent="0.35">
      <c r="A194" s="8" t="s">
        <v>2451</v>
      </c>
      <c r="B194" s="8" t="s">
        <v>2451</v>
      </c>
      <c r="C194" s="8"/>
      <c r="D194" s="8" t="s">
        <v>1966</v>
      </c>
      <c r="E194" s="8" t="s">
        <v>2451</v>
      </c>
      <c r="F194" s="8" t="s">
        <v>2451</v>
      </c>
      <c r="G194" s="8" t="s">
        <v>2451</v>
      </c>
    </row>
    <row r="195" spans="1:7" outlineLevel="1" x14ac:dyDescent="0.35">
      <c r="A195" s="8" t="s">
        <v>55</v>
      </c>
      <c r="B195" s="8" t="s">
        <v>482</v>
      </c>
      <c r="C195" s="8">
        <v>10</v>
      </c>
      <c r="D195" s="8" t="s">
        <v>2451</v>
      </c>
      <c r="E195" s="8" t="s">
        <v>2451</v>
      </c>
      <c r="F195" s="8" t="s">
        <v>2451</v>
      </c>
      <c r="G195" s="8" t="s">
        <v>2451</v>
      </c>
    </row>
    <row r="196" spans="1:7" outlineLevel="2" x14ac:dyDescent="0.35">
      <c r="A196" s="8" t="s">
        <v>2451</v>
      </c>
      <c r="B196" s="8" t="s">
        <v>2451</v>
      </c>
      <c r="C196" s="8"/>
      <c r="D196" s="8" t="s">
        <v>1950</v>
      </c>
      <c r="E196" s="8" t="s">
        <v>2451</v>
      </c>
      <c r="F196" s="8" t="s">
        <v>2451</v>
      </c>
      <c r="G196" s="8" t="s">
        <v>2451</v>
      </c>
    </row>
    <row r="197" spans="1:7" outlineLevel="2" x14ac:dyDescent="0.35">
      <c r="A197" s="8" t="s">
        <v>2451</v>
      </c>
      <c r="B197" s="8" t="s">
        <v>2451</v>
      </c>
      <c r="C197" s="8"/>
      <c r="D197" s="8" t="s">
        <v>1951</v>
      </c>
      <c r="E197" s="8" t="s">
        <v>2451</v>
      </c>
      <c r="F197" s="8" t="s">
        <v>2451</v>
      </c>
      <c r="G197" s="8" t="s">
        <v>2451</v>
      </c>
    </row>
    <row r="198" spans="1:7" outlineLevel="2" x14ac:dyDescent="0.35">
      <c r="A198" s="8" t="s">
        <v>2451</v>
      </c>
      <c r="B198" s="8" t="s">
        <v>2451</v>
      </c>
      <c r="C198" s="8"/>
      <c r="D198" s="8" t="s">
        <v>1952</v>
      </c>
      <c r="E198" s="8" t="s">
        <v>2451</v>
      </c>
      <c r="F198" s="8" t="s">
        <v>2451</v>
      </c>
      <c r="G198" s="8" t="s">
        <v>2451</v>
      </c>
    </row>
    <row r="199" spans="1:7" outlineLevel="2" x14ac:dyDescent="0.35">
      <c r="A199" s="8" t="s">
        <v>2451</v>
      </c>
      <c r="B199" s="8" t="s">
        <v>2451</v>
      </c>
      <c r="C199" s="8"/>
      <c r="D199" s="8" t="s">
        <v>1953</v>
      </c>
      <c r="E199" s="8" t="s">
        <v>2451</v>
      </c>
      <c r="F199" s="8" t="s">
        <v>2451</v>
      </c>
      <c r="G199" s="8" t="s">
        <v>2451</v>
      </c>
    </row>
    <row r="200" spans="1:7" outlineLevel="2" x14ac:dyDescent="0.35">
      <c r="A200" s="8" t="s">
        <v>2451</v>
      </c>
      <c r="B200" s="8" t="s">
        <v>2451</v>
      </c>
      <c r="C200" s="8"/>
      <c r="D200" s="8" t="s">
        <v>1954</v>
      </c>
      <c r="E200" s="8" t="s">
        <v>2451</v>
      </c>
      <c r="F200" s="8" t="s">
        <v>2451</v>
      </c>
      <c r="G200" s="8" t="s">
        <v>2451</v>
      </c>
    </row>
    <row r="201" spans="1:7" outlineLevel="2" x14ac:dyDescent="0.35">
      <c r="A201" s="8" t="s">
        <v>2451</v>
      </c>
      <c r="B201" s="8" t="s">
        <v>2451</v>
      </c>
      <c r="C201" s="8"/>
      <c r="D201" s="8" t="s">
        <v>1955</v>
      </c>
      <c r="E201" s="8" t="s">
        <v>2451</v>
      </c>
      <c r="F201" s="8" t="s">
        <v>2451</v>
      </c>
      <c r="G201" s="8" t="s">
        <v>2451</v>
      </c>
    </row>
    <row r="202" spans="1:7" outlineLevel="2" x14ac:dyDescent="0.35">
      <c r="A202" s="8" t="s">
        <v>2451</v>
      </c>
      <c r="B202" s="8" t="s">
        <v>2451</v>
      </c>
      <c r="C202" s="8"/>
      <c r="D202" s="8" t="s">
        <v>1956</v>
      </c>
      <c r="E202" s="8" t="s">
        <v>2451</v>
      </c>
      <c r="F202" s="8" t="s">
        <v>2451</v>
      </c>
      <c r="G202" s="8" t="s">
        <v>2451</v>
      </c>
    </row>
    <row r="203" spans="1:7" outlineLevel="2" x14ac:dyDescent="0.35">
      <c r="A203" s="8" t="s">
        <v>2451</v>
      </c>
      <c r="B203" s="8" t="s">
        <v>2451</v>
      </c>
      <c r="C203" s="8"/>
      <c r="D203" s="8" t="s">
        <v>1957</v>
      </c>
      <c r="E203" s="8" t="s">
        <v>2451</v>
      </c>
      <c r="F203" s="8" t="s">
        <v>2451</v>
      </c>
      <c r="G203" s="8" t="s">
        <v>2451</v>
      </c>
    </row>
    <row r="204" spans="1:7" outlineLevel="2" x14ac:dyDescent="0.35">
      <c r="A204" s="8" t="s">
        <v>2451</v>
      </c>
      <c r="B204" s="8" t="s">
        <v>2451</v>
      </c>
      <c r="C204" s="8"/>
      <c r="D204" s="8" t="s">
        <v>1958</v>
      </c>
      <c r="E204" s="8" t="s">
        <v>2451</v>
      </c>
      <c r="F204" s="8" t="s">
        <v>2451</v>
      </c>
      <c r="G204" s="8" t="s">
        <v>2451</v>
      </c>
    </row>
    <row r="205" spans="1:7" outlineLevel="2" x14ac:dyDescent="0.35">
      <c r="A205" s="8" t="s">
        <v>2451</v>
      </c>
      <c r="B205" s="8" t="s">
        <v>2451</v>
      </c>
      <c r="C205" s="8"/>
      <c r="D205" s="8" t="s">
        <v>1959</v>
      </c>
      <c r="E205" s="8" t="s">
        <v>2451</v>
      </c>
      <c r="F205" s="8" t="s">
        <v>2451</v>
      </c>
      <c r="G205" s="8" t="s">
        <v>2451</v>
      </c>
    </row>
    <row r="206" spans="1:7" outlineLevel="1" x14ac:dyDescent="0.35">
      <c r="A206" s="8" t="s">
        <v>86</v>
      </c>
      <c r="B206" s="8" t="s">
        <v>486</v>
      </c>
      <c r="C206" s="8">
        <v>5</v>
      </c>
      <c r="D206" s="8" t="s">
        <v>2451</v>
      </c>
      <c r="E206" s="8" t="s">
        <v>2451</v>
      </c>
      <c r="F206" s="8" t="s">
        <v>2451</v>
      </c>
      <c r="G206" s="8" t="s">
        <v>2451</v>
      </c>
    </row>
    <row r="207" spans="1:7" outlineLevel="2" x14ac:dyDescent="0.35">
      <c r="A207" s="8" t="s">
        <v>2451</v>
      </c>
      <c r="B207" s="8" t="s">
        <v>2451</v>
      </c>
      <c r="C207" s="8"/>
      <c r="D207" s="8" t="s">
        <v>1945</v>
      </c>
      <c r="E207" s="8" t="s">
        <v>2451</v>
      </c>
      <c r="F207" s="8" t="s">
        <v>2451</v>
      </c>
      <c r="G207" s="8" t="s">
        <v>2451</v>
      </c>
    </row>
    <row r="208" spans="1:7" outlineLevel="2" x14ac:dyDescent="0.35">
      <c r="A208" s="8" t="s">
        <v>2451</v>
      </c>
      <c r="B208" s="8" t="s">
        <v>2451</v>
      </c>
      <c r="C208" s="8"/>
      <c r="D208" s="8" t="s">
        <v>1946</v>
      </c>
      <c r="E208" s="8" t="s">
        <v>2451</v>
      </c>
      <c r="F208" s="8" t="s">
        <v>2451</v>
      </c>
      <c r="G208" s="8" t="s">
        <v>2451</v>
      </c>
    </row>
    <row r="209" spans="1:7" outlineLevel="2" x14ac:dyDescent="0.35">
      <c r="A209" s="8" t="s">
        <v>2451</v>
      </c>
      <c r="B209" s="8" t="s">
        <v>2451</v>
      </c>
      <c r="C209" s="8"/>
      <c r="D209" s="8" t="s">
        <v>1947</v>
      </c>
      <c r="E209" s="8" t="s">
        <v>2451</v>
      </c>
      <c r="F209" s="8" t="s">
        <v>2451</v>
      </c>
      <c r="G209" s="8" t="s">
        <v>2451</v>
      </c>
    </row>
    <row r="210" spans="1:7" outlineLevel="2" x14ac:dyDescent="0.35">
      <c r="A210" s="8" t="s">
        <v>2451</v>
      </c>
      <c r="B210" s="8" t="s">
        <v>2451</v>
      </c>
      <c r="C210" s="8"/>
      <c r="D210" s="8" t="s">
        <v>1948</v>
      </c>
      <c r="E210" s="8" t="s">
        <v>2451</v>
      </c>
      <c r="F210" s="8" t="s">
        <v>2451</v>
      </c>
      <c r="G210" s="8" t="s">
        <v>2451</v>
      </c>
    </row>
    <row r="211" spans="1:7" outlineLevel="2" x14ac:dyDescent="0.35">
      <c r="A211" s="8" t="s">
        <v>2451</v>
      </c>
      <c r="B211" s="8" t="s">
        <v>2451</v>
      </c>
      <c r="C211" s="8"/>
      <c r="D211" s="8" t="s">
        <v>1949</v>
      </c>
      <c r="E211" s="8" t="s">
        <v>2451</v>
      </c>
      <c r="F211" s="8" t="s">
        <v>2451</v>
      </c>
      <c r="G211" s="8" t="s">
        <v>2451</v>
      </c>
    </row>
    <row r="212" spans="1:7" outlineLevel="1" x14ac:dyDescent="0.35">
      <c r="A212" s="8" t="s">
        <v>86</v>
      </c>
      <c r="B212" s="8" t="s">
        <v>489</v>
      </c>
      <c r="C212" s="8">
        <v>2</v>
      </c>
      <c r="D212" s="8" t="s">
        <v>2451</v>
      </c>
      <c r="E212" s="8" t="s">
        <v>2451</v>
      </c>
      <c r="F212" s="8" t="s">
        <v>2451</v>
      </c>
      <c r="G212" s="8" t="s">
        <v>2451</v>
      </c>
    </row>
    <row r="213" spans="1:7" outlineLevel="2" x14ac:dyDescent="0.35">
      <c r="A213" s="8" t="s">
        <v>2451</v>
      </c>
      <c r="B213" s="8" t="s">
        <v>2451</v>
      </c>
      <c r="C213" s="8"/>
      <c r="D213" s="8" t="s">
        <v>1943</v>
      </c>
      <c r="E213" s="8" t="s">
        <v>2451</v>
      </c>
      <c r="F213" s="8" t="s">
        <v>2451</v>
      </c>
      <c r="G213" s="8" t="s">
        <v>2451</v>
      </c>
    </row>
    <row r="214" spans="1:7" outlineLevel="2" x14ac:dyDescent="0.35">
      <c r="A214" s="8" t="s">
        <v>2451</v>
      </c>
      <c r="B214" s="8" t="s">
        <v>2451</v>
      </c>
      <c r="C214" s="8"/>
      <c r="D214" s="8" t="s">
        <v>1944</v>
      </c>
      <c r="E214" s="8" t="s">
        <v>2451</v>
      </c>
      <c r="F214" s="8" t="s">
        <v>2451</v>
      </c>
      <c r="G214" s="8" t="s">
        <v>2451</v>
      </c>
    </row>
    <row r="215" spans="1:7" outlineLevel="1" x14ac:dyDescent="0.35">
      <c r="A215" s="8" t="s">
        <v>86</v>
      </c>
      <c r="B215" s="8" t="s">
        <v>493</v>
      </c>
      <c r="C215" s="8">
        <v>12</v>
      </c>
      <c r="D215" s="8" t="s">
        <v>2451</v>
      </c>
      <c r="E215" s="8" t="s">
        <v>2451</v>
      </c>
      <c r="F215" s="8" t="s">
        <v>2451</v>
      </c>
      <c r="G215" s="8" t="s">
        <v>2451</v>
      </c>
    </row>
    <row r="216" spans="1:7" outlineLevel="2" x14ac:dyDescent="0.35">
      <c r="A216" s="8" t="s">
        <v>2451</v>
      </c>
      <c r="B216" s="8" t="s">
        <v>2451</v>
      </c>
      <c r="C216" s="8"/>
      <c r="D216" s="8" t="s">
        <v>1931</v>
      </c>
      <c r="E216" s="8" t="s">
        <v>2451</v>
      </c>
      <c r="F216" s="8" t="s">
        <v>2451</v>
      </c>
      <c r="G216" s="8" t="s">
        <v>2451</v>
      </c>
    </row>
    <row r="217" spans="1:7" outlineLevel="2" x14ac:dyDescent="0.35">
      <c r="A217" s="8" t="s">
        <v>2451</v>
      </c>
      <c r="B217" s="8" t="s">
        <v>2451</v>
      </c>
      <c r="C217" s="8"/>
      <c r="D217" s="8" t="s">
        <v>1932</v>
      </c>
      <c r="E217" s="8" t="s">
        <v>2451</v>
      </c>
      <c r="F217" s="8" t="s">
        <v>2451</v>
      </c>
      <c r="G217" s="8" t="s">
        <v>2451</v>
      </c>
    </row>
    <row r="218" spans="1:7" outlineLevel="2" x14ac:dyDescent="0.35">
      <c r="A218" s="8" t="s">
        <v>2451</v>
      </c>
      <c r="B218" s="8" t="s">
        <v>2451</v>
      </c>
      <c r="C218" s="8"/>
      <c r="D218" s="8" t="s">
        <v>1933</v>
      </c>
      <c r="E218" s="8" t="s">
        <v>2451</v>
      </c>
      <c r="F218" s="8" t="s">
        <v>2451</v>
      </c>
      <c r="G218" s="8" t="s">
        <v>2451</v>
      </c>
    </row>
    <row r="219" spans="1:7" outlineLevel="2" x14ac:dyDescent="0.35">
      <c r="A219" s="8" t="s">
        <v>2451</v>
      </c>
      <c r="B219" s="8" t="s">
        <v>2451</v>
      </c>
      <c r="C219" s="8"/>
      <c r="D219" s="8" t="s">
        <v>1934</v>
      </c>
      <c r="E219" s="8" t="s">
        <v>2451</v>
      </c>
      <c r="F219" s="8" t="s">
        <v>2451</v>
      </c>
      <c r="G219" s="8" t="s">
        <v>2451</v>
      </c>
    </row>
    <row r="220" spans="1:7" outlineLevel="2" x14ac:dyDescent="0.35">
      <c r="A220" s="8" t="s">
        <v>2451</v>
      </c>
      <c r="B220" s="8" t="s">
        <v>2451</v>
      </c>
      <c r="C220" s="8"/>
      <c r="D220" s="8" t="s">
        <v>1935</v>
      </c>
      <c r="E220" s="8" t="s">
        <v>2451</v>
      </c>
      <c r="F220" s="8" t="s">
        <v>2451</v>
      </c>
      <c r="G220" s="8" t="s">
        <v>2451</v>
      </c>
    </row>
    <row r="221" spans="1:7" outlineLevel="2" x14ac:dyDescent="0.35">
      <c r="A221" s="8" t="s">
        <v>2451</v>
      </c>
      <c r="B221" s="8" t="s">
        <v>2451</v>
      </c>
      <c r="C221" s="8"/>
      <c r="D221" s="8" t="s">
        <v>1936</v>
      </c>
      <c r="E221" s="8" t="s">
        <v>2451</v>
      </c>
      <c r="F221" s="8" t="s">
        <v>2451</v>
      </c>
      <c r="G221" s="8" t="s">
        <v>2451</v>
      </c>
    </row>
    <row r="222" spans="1:7" outlineLevel="2" x14ac:dyDescent="0.35">
      <c r="A222" s="8" t="s">
        <v>2451</v>
      </c>
      <c r="B222" s="8" t="s">
        <v>2451</v>
      </c>
      <c r="C222" s="8"/>
      <c r="D222" s="8" t="s">
        <v>1937</v>
      </c>
      <c r="E222" s="8" t="s">
        <v>2451</v>
      </c>
      <c r="F222" s="8" t="s">
        <v>2451</v>
      </c>
      <c r="G222" s="8" t="s">
        <v>2451</v>
      </c>
    </row>
    <row r="223" spans="1:7" outlineLevel="2" x14ac:dyDescent="0.35">
      <c r="A223" s="8" t="s">
        <v>2451</v>
      </c>
      <c r="B223" s="8" t="s">
        <v>2451</v>
      </c>
      <c r="C223" s="8"/>
      <c r="D223" s="8" t="s">
        <v>1938</v>
      </c>
      <c r="E223" s="8" t="s">
        <v>2451</v>
      </c>
      <c r="F223" s="8" t="s">
        <v>2451</v>
      </c>
      <c r="G223" s="8" t="s">
        <v>2451</v>
      </c>
    </row>
    <row r="224" spans="1:7" outlineLevel="2" x14ac:dyDescent="0.35">
      <c r="A224" s="8" t="s">
        <v>2451</v>
      </c>
      <c r="B224" s="8" t="s">
        <v>2451</v>
      </c>
      <c r="C224" s="8"/>
      <c r="D224" s="8" t="s">
        <v>1939</v>
      </c>
      <c r="E224" s="8" t="s">
        <v>2451</v>
      </c>
      <c r="F224" s="8" t="s">
        <v>2451</v>
      </c>
      <c r="G224" s="8" t="s">
        <v>2451</v>
      </c>
    </row>
    <row r="225" spans="1:7" outlineLevel="2" x14ac:dyDescent="0.35">
      <c r="A225" s="8" t="s">
        <v>2451</v>
      </c>
      <c r="B225" s="8" t="s">
        <v>2451</v>
      </c>
      <c r="C225" s="8"/>
      <c r="D225" s="8" t="s">
        <v>1940</v>
      </c>
      <c r="E225" s="8" t="s">
        <v>2451</v>
      </c>
      <c r="F225" s="8" t="s">
        <v>2451</v>
      </c>
      <c r="G225" s="8" t="s">
        <v>2451</v>
      </c>
    </row>
    <row r="226" spans="1:7" outlineLevel="2" x14ac:dyDescent="0.35">
      <c r="A226" s="8" t="s">
        <v>2451</v>
      </c>
      <c r="B226" s="8" t="s">
        <v>2451</v>
      </c>
      <c r="C226" s="8"/>
      <c r="D226" s="8" t="s">
        <v>1941</v>
      </c>
      <c r="E226" s="8" t="s">
        <v>2451</v>
      </c>
      <c r="F226" s="8" t="s">
        <v>2451</v>
      </c>
      <c r="G226" s="8" t="s">
        <v>2451</v>
      </c>
    </row>
    <row r="227" spans="1:7" outlineLevel="2" x14ac:dyDescent="0.35">
      <c r="A227" s="8" t="s">
        <v>2451</v>
      </c>
      <c r="B227" s="8" t="s">
        <v>2451</v>
      </c>
      <c r="C227" s="8"/>
      <c r="D227" s="8" t="s">
        <v>1942</v>
      </c>
      <c r="E227" s="8" t="s">
        <v>2451</v>
      </c>
      <c r="F227" s="8" t="s">
        <v>2451</v>
      </c>
      <c r="G227" s="8" t="s">
        <v>2451</v>
      </c>
    </row>
    <row r="228" spans="1:7" outlineLevel="1" x14ac:dyDescent="0.35">
      <c r="A228" s="8" t="s">
        <v>86</v>
      </c>
      <c r="B228" s="8" t="s">
        <v>497</v>
      </c>
      <c r="C228" s="8">
        <v>4</v>
      </c>
      <c r="D228" s="8" t="s">
        <v>2451</v>
      </c>
      <c r="E228" s="8" t="s">
        <v>2451</v>
      </c>
      <c r="F228" s="8" t="s">
        <v>2451</v>
      </c>
      <c r="G228" s="8" t="s">
        <v>2451</v>
      </c>
    </row>
    <row r="229" spans="1:7" outlineLevel="2" x14ac:dyDescent="0.35">
      <c r="A229" s="8" t="s">
        <v>2451</v>
      </c>
      <c r="B229" s="8" t="s">
        <v>2451</v>
      </c>
      <c r="C229" s="8"/>
      <c r="D229" s="8" t="s">
        <v>1927</v>
      </c>
      <c r="E229" s="8" t="s">
        <v>2451</v>
      </c>
      <c r="F229" s="8" t="s">
        <v>2451</v>
      </c>
      <c r="G229" s="8" t="s">
        <v>2451</v>
      </c>
    </row>
    <row r="230" spans="1:7" outlineLevel="2" x14ac:dyDescent="0.35">
      <c r="A230" s="8" t="s">
        <v>2451</v>
      </c>
      <c r="B230" s="8" t="s">
        <v>2451</v>
      </c>
      <c r="C230" s="8"/>
      <c r="D230" s="8" t="s">
        <v>1928</v>
      </c>
      <c r="E230" s="8" t="s">
        <v>2451</v>
      </c>
      <c r="F230" s="8" t="s">
        <v>2451</v>
      </c>
      <c r="G230" s="8" t="s">
        <v>2451</v>
      </c>
    </row>
    <row r="231" spans="1:7" outlineLevel="2" x14ac:dyDescent="0.35">
      <c r="A231" s="8" t="s">
        <v>2451</v>
      </c>
      <c r="B231" s="8" t="s">
        <v>2451</v>
      </c>
      <c r="C231" s="8"/>
      <c r="D231" s="8" t="s">
        <v>1929</v>
      </c>
      <c r="E231" s="8" t="s">
        <v>2451</v>
      </c>
      <c r="F231" s="8" t="s">
        <v>2451</v>
      </c>
      <c r="G231" s="8" t="s">
        <v>2451</v>
      </c>
    </row>
    <row r="232" spans="1:7" outlineLevel="2" x14ac:dyDescent="0.35">
      <c r="A232" s="8" t="s">
        <v>2451</v>
      </c>
      <c r="B232" s="8" t="s">
        <v>2451</v>
      </c>
      <c r="C232" s="8"/>
      <c r="D232" s="8" t="s">
        <v>1930</v>
      </c>
      <c r="E232" s="8" t="s">
        <v>2451</v>
      </c>
      <c r="F232" s="8" t="s">
        <v>2451</v>
      </c>
      <c r="G232" s="8" t="s">
        <v>2451</v>
      </c>
    </row>
    <row r="233" spans="1:7" outlineLevel="1" x14ac:dyDescent="0.35">
      <c r="A233" s="8" t="s">
        <v>500</v>
      </c>
      <c r="B233" s="8" t="s">
        <v>501</v>
      </c>
      <c r="C233" s="8">
        <v>4</v>
      </c>
      <c r="D233" s="8" t="s">
        <v>2451</v>
      </c>
      <c r="E233" s="8" t="s">
        <v>2451</v>
      </c>
      <c r="F233" s="8" t="s">
        <v>2451</v>
      </c>
      <c r="G233" s="8" t="s">
        <v>2451</v>
      </c>
    </row>
    <row r="234" spans="1:7" outlineLevel="2" x14ac:dyDescent="0.35">
      <c r="A234" s="8" t="s">
        <v>2451</v>
      </c>
      <c r="B234" s="8" t="s">
        <v>2451</v>
      </c>
      <c r="C234" s="8"/>
      <c r="D234" s="8" t="s">
        <v>1923</v>
      </c>
      <c r="E234" s="8" t="s">
        <v>2451</v>
      </c>
      <c r="F234" s="8" t="s">
        <v>2451</v>
      </c>
      <c r="G234" s="8" t="s">
        <v>2451</v>
      </c>
    </row>
    <row r="235" spans="1:7" outlineLevel="2" x14ac:dyDescent="0.35">
      <c r="A235" s="8" t="s">
        <v>2451</v>
      </c>
      <c r="B235" s="8" t="s">
        <v>2451</v>
      </c>
      <c r="C235" s="8"/>
      <c r="D235" s="8" t="s">
        <v>1924</v>
      </c>
      <c r="E235" s="8" t="s">
        <v>2451</v>
      </c>
      <c r="F235" s="8" t="s">
        <v>2451</v>
      </c>
      <c r="G235" s="8" t="s">
        <v>2451</v>
      </c>
    </row>
    <row r="236" spans="1:7" outlineLevel="2" x14ac:dyDescent="0.35">
      <c r="A236" s="8" t="s">
        <v>2451</v>
      </c>
      <c r="B236" s="8" t="s">
        <v>2451</v>
      </c>
      <c r="C236" s="8"/>
      <c r="D236" s="8" t="s">
        <v>1925</v>
      </c>
      <c r="E236" s="8" t="s">
        <v>2451</v>
      </c>
      <c r="F236" s="8" t="s">
        <v>2451</v>
      </c>
      <c r="G236" s="8" t="s">
        <v>2451</v>
      </c>
    </row>
    <row r="237" spans="1:7" outlineLevel="2" x14ac:dyDescent="0.35">
      <c r="A237" s="8" t="s">
        <v>2451</v>
      </c>
      <c r="B237" s="8" t="s">
        <v>2451</v>
      </c>
      <c r="C237" s="8"/>
      <c r="D237" s="8" t="s">
        <v>1926</v>
      </c>
      <c r="E237" s="8" t="s">
        <v>2451</v>
      </c>
      <c r="F237" s="8" t="s">
        <v>2451</v>
      </c>
      <c r="G237" s="8" t="s">
        <v>2451</v>
      </c>
    </row>
    <row r="238" spans="1:7" outlineLevel="1" x14ac:dyDescent="0.35">
      <c r="A238" s="8" t="s">
        <v>86</v>
      </c>
      <c r="B238" s="8" t="s">
        <v>503</v>
      </c>
      <c r="C238" s="8">
        <v>4</v>
      </c>
      <c r="D238" s="8" t="s">
        <v>2451</v>
      </c>
      <c r="E238" s="8" t="s">
        <v>2451</v>
      </c>
      <c r="F238" s="8" t="s">
        <v>2451</v>
      </c>
      <c r="G238" s="8" t="s">
        <v>2451</v>
      </c>
    </row>
    <row r="239" spans="1:7" outlineLevel="2" x14ac:dyDescent="0.35">
      <c r="A239" s="8" t="s">
        <v>2451</v>
      </c>
      <c r="B239" s="8" t="s">
        <v>2451</v>
      </c>
      <c r="C239" s="8"/>
      <c r="D239" s="8" t="s">
        <v>1919</v>
      </c>
      <c r="E239" s="8" t="s">
        <v>2451</v>
      </c>
      <c r="F239" s="8" t="s">
        <v>2451</v>
      </c>
      <c r="G239" s="8" t="s">
        <v>2451</v>
      </c>
    </row>
    <row r="240" spans="1:7" outlineLevel="2" x14ac:dyDescent="0.35">
      <c r="A240" s="8" t="s">
        <v>2451</v>
      </c>
      <c r="B240" s="8" t="s">
        <v>2451</v>
      </c>
      <c r="C240" s="8"/>
      <c r="D240" s="8" t="s">
        <v>1920</v>
      </c>
      <c r="E240" s="8" t="s">
        <v>2451</v>
      </c>
      <c r="F240" s="8" t="s">
        <v>2451</v>
      </c>
      <c r="G240" s="8" t="s">
        <v>2451</v>
      </c>
    </row>
    <row r="241" spans="1:7" outlineLevel="2" x14ac:dyDescent="0.35">
      <c r="A241" s="8" t="s">
        <v>2451</v>
      </c>
      <c r="B241" s="8" t="s">
        <v>2451</v>
      </c>
      <c r="C241" s="8"/>
      <c r="D241" s="8" t="s">
        <v>1921</v>
      </c>
      <c r="E241" s="8" t="s">
        <v>2451</v>
      </c>
      <c r="F241" s="8" t="s">
        <v>2451</v>
      </c>
      <c r="G241" s="8" t="s">
        <v>2451</v>
      </c>
    </row>
    <row r="242" spans="1:7" outlineLevel="2" x14ac:dyDescent="0.35">
      <c r="A242" s="8" t="s">
        <v>2451</v>
      </c>
      <c r="B242" s="8" t="s">
        <v>2451</v>
      </c>
      <c r="C242" s="8"/>
      <c r="D242" s="8" t="s">
        <v>1922</v>
      </c>
      <c r="E242" s="8" t="s">
        <v>2451</v>
      </c>
      <c r="F242" s="8" t="s">
        <v>2451</v>
      </c>
      <c r="G242" s="8" t="s">
        <v>2451</v>
      </c>
    </row>
    <row r="243" spans="1:7" outlineLevel="1" x14ac:dyDescent="0.35">
      <c r="A243" s="8" t="s">
        <v>86</v>
      </c>
      <c r="B243" s="8" t="s">
        <v>508</v>
      </c>
      <c r="C243" s="8">
        <v>2</v>
      </c>
      <c r="D243" s="8" t="s">
        <v>2451</v>
      </c>
      <c r="E243" s="8" t="s">
        <v>2451</v>
      </c>
      <c r="F243" s="8" t="s">
        <v>2451</v>
      </c>
      <c r="G243" s="8" t="s">
        <v>2451</v>
      </c>
    </row>
    <row r="244" spans="1:7" outlineLevel="2" x14ac:dyDescent="0.35">
      <c r="A244" s="8" t="s">
        <v>2451</v>
      </c>
      <c r="B244" s="8" t="s">
        <v>2451</v>
      </c>
      <c r="C244" s="8"/>
      <c r="D244" s="8" t="s">
        <v>1917</v>
      </c>
      <c r="E244" s="8" t="s">
        <v>2451</v>
      </c>
      <c r="F244" s="8" t="s">
        <v>2451</v>
      </c>
      <c r="G244" s="8" t="s">
        <v>2451</v>
      </c>
    </row>
    <row r="245" spans="1:7" outlineLevel="2" x14ac:dyDescent="0.35">
      <c r="A245" s="8" t="s">
        <v>2451</v>
      </c>
      <c r="B245" s="8" t="s">
        <v>2451</v>
      </c>
      <c r="C245" s="8"/>
      <c r="D245" s="8" t="s">
        <v>1918</v>
      </c>
      <c r="E245" s="8" t="s">
        <v>2451</v>
      </c>
      <c r="F245" s="8" t="s">
        <v>2451</v>
      </c>
      <c r="G245" s="8" t="s">
        <v>2451</v>
      </c>
    </row>
    <row r="246" spans="1:7" outlineLevel="1" x14ac:dyDescent="0.35">
      <c r="A246" s="8" t="s">
        <v>86</v>
      </c>
      <c r="B246" s="8" t="s">
        <v>512</v>
      </c>
      <c r="C246" s="8">
        <v>12</v>
      </c>
      <c r="D246" s="8" t="s">
        <v>2451</v>
      </c>
      <c r="E246" s="8" t="s">
        <v>2451</v>
      </c>
      <c r="F246" s="8" t="s">
        <v>2451</v>
      </c>
      <c r="G246" s="8" t="s">
        <v>2451</v>
      </c>
    </row>
    <row r="247" spans="1:7" outlineLevel="2" x14ac:dyDescent="0.35">
      <c r="A247" s="8" t="s">
        <v>2451</v>
      </c>
      <c r="B247" s="8" t="s">
        <v>2451</v>
      </c>
      <c r="C247" s="8"/>
      <c r="D247" s="8" t="s">
        <v>1905</v>
      </c>
      <c r="E247" s="8" t="s">
        <v>2451</v>
      </c>
      <c r="F247" s="8" t="s">
        <v>2451</v>
      </c>
      <c r="G247" s="8" t="s">
        <v>2451</v>
      </c>
    </row>
    <row r="248" spans="1:7" outlineLevel="2" x14ac:dyDescent="0.35">
      <c r="A248" s="8" t="s">
        <v>2451</v>
      </c>
      <c r="B248" s="8" t="s">
        <v>2451</v>
      </c>
      <c r="C248" s="8"/>
      <c r="D248" s="8" t="s">
        <v>1906</v>
      </c>
      <c r="E248" s="8" t="s">
        <v>2451</v>
      </c>
      <c r="F248" s="8" t="s">
        <v>2451</v>
      </c>
      <c r="G248" s="8" t="s">
        <v>2451</v>
      </c>
    </row>
    <row r="249" spans="1:7" outlineLevel="2" x14ac:dyDescent="0.35">
      <c r="A249" s="8" t="s">
        <v>2451</v>
      </c>
      <c r="B249" s="8" t="s">
        <v>2451</v>
      </c>
      <c r="C249" s="8"/>
      <c r="D249" s="8" t="s">
        <v>1907</v>
      </c>
      <c r="E249" s="8" t="s">
        <v>2451</v>
      </c>
      <c r="F249" s="8" t="s">
        <v>2451</v>
      </c>
      <c r="G249" s="8" t="s">
        <v>2451</v>
      </c>
    </row>
    <row r="250" spans="1:7" outlineLevel="2" x14ac:dyDescent="0.35">
      <c r="A250" s="8" t="s">
        <v>2451</v>
      </c>
      <c r="B250" s="8" t="s">
        <v>2451</v>
      </c>
      <c r="C250" s="8"/>
      <c r="D250" s="8" t="s">
        <v>1908</v>
      </c>
      <c r="E250" s="8" t="s">
        <v>2451</v>
      </c>
      <c r="F250" s="8" t="s">
        <v>2451</v>
      </c>
      <c r="G250" s="8" t="s">
        <v>2451</v>
      </c>
    </row>
    <row r="251" spans="1:7" outlineLevel="2" x14ac:dyDescent="0.35">
      <c r="A251" s="8" t="s">
        <v>2451</v>
      </c>
      <c r="B251" s="8" t="s">
        <v>2451</v>
      </c>
      <c r="C251" s="8"/>
      <c r="D251" s="8" t="s">
        <v>1909</v>
      </c>
      <c r="E251" s="8" t="s">
        <v>2451</v>
      </c>
      <c r="F251" s="8" t="s">
        <v>2451</v>
      </c>
      <c r="G251" s="8" t="s">
        <v>2451</v>
      </c>
    </row>
    <row r="252" spans="1:7" outlineLevel="2" x14ac:dyDescent="0.35">
      <c r="A252" s="8" t="s">
        <v>2451</v>
      </c>
      <c r="B252" s="8" t="s">
        <v>2451</v>
      </c>
      <c r="C252" s="8"/>
      <c r="D252" s="8" t="s">
        <v>1910</v>
      </c>
      <c r="E252" s="8" t="s">
        <v>2451</v>
      </c>
      <c r="F252" s="8" t="s">
        <v>2451</v>
      </c>
      <c r="G252" s="8" t="s">
        <v>2451</v>
      </c>
    </row>
    <row r="253" spans="1:7" outlineLevel="2" x14ac:dyDescent="0.35">
      <c r="A253" s="8" t="s">
        <v>2451</v>
      </c>
      <c r="B253" s="8" t="s">
        <v>2451</v>
      </c>
      <c r="C253" s="8"/>
      <c r="D253" s="8" t="s">
        <v>1911</v>
      </c>
      <c r="E253" s="8" t="s">
        <v>2451</v>
      </c>
      <c r="F253" s="8" t="s">
        <v>2451</v>
      </c>
      <c r="G253" s="8" t="s">
        <v>2451</v>
      </c>
    </row>
    <row r="254" spans="1:7" outlineLevel="2" x14ac:dyDescent="0.35">
      <c r="A254" s="8" t="s">
        <v>2451</v>
      </c>
      <c r="B254" s="8" t="s">
        <v>2451</v>
      </c>
      <c r="C254" s="8"/>
      <c r="D254" s="8" t="s">
        <v>1912</v>
      </c>
      <c r="E254" s="8" t="s">
        <v>2451</v>
      </c>
      <c r="F254" s="8" t="s">
        <v>2451</v>
      </c>
      <c r="G254" s="8" t="s">
        <v>2451</v>
      </c>
    </row>
    <row r="255" spans="1:7" outlineLevel="2" x14ac:dyDescent="0.35">
      <c r="A255" s="8" t="s">
        <v>2451</v>
      </c>
      <c r="B255" s="8" t="s">
        <v>2451</v>
      </c>
      <c r="C255" s="8"/>
      <c r="D255" s="8" t="s">
        <v>1913</v>
      </c>
      <c r="E255" s="8" t="s">
        <v>2451</v>
      </c>
      <c r="F255" s="8" t="s">
        <v>2451</v>
      </c>
      <c r="G255" s="8" t="s">
        <v>2451</v>
      </c>
    </row>
    <row r="256" spans="1:7" outlineLevel="2" x14ac:dyDescent="0.35">
      <c r="A256" s="8" t="s">
        <v>2451</v>
      </c>
      <c r="B256" s="8" t="s">
        <v>2451</v>
      </c>
      <c r="C256" s="8"/>
      <c r="D256" s="8" t="s">
        <v>1914</v>
      </c>
      <c r="E256" s="8" t="s">
        <v>2451</v>
      </c>
      <c r="F256" s="8" t="s">
        <v>2451</v>
      </c>
      <c r="G256" s="8" t="s">
        <v>2451</v>
      </c>
    </row>
    <row r="257" spans="1:7" outlineLevel="2" x14ac:dyDescent="0.35">
      <c r="A257" s="8" t="s">
        <v>2451</v>
      </c>
      <c r="B257" s="8" t="s">
        <v>2451</v>
      </c>
      <c r="C257" s="8"/>
      <c r="D257" s="8" t="s">
        <v>1915</v>
      </c>
      <c r="E257" s="8" t="s">
        <v>2451</v>
      </c>
      <c r="F257" s="8" t="s">
        <v>2451</v>
      </c>
      <c r="G257" s="8" t="s">
        <v>2451</v>
      </c>
    </row>
    <row r="258" spans="1:7" outlineLevel="2" x14ac:dyDescent="0.35">
      <c r="A258" s="8" t="s">
        <v>2451</v>
      </c>
      <c r="B258" s="8" t="s">
        <v>2451</v>
      </c>
      <c r="C258" s="8"/>
      <c r="D258" s="8" t="s">
        <v>1916</v>
      </c>
      <c r="E258" s="8" t="s">
        <v>2451</v>
      </c>
      <c r="F258" s="8" t="s">
        <v>2451</v>
      </c>
      <c r="G258" s="8" t="s">
        <v>2451</v>
      </c>
    </row>
    <row r="259" spans="1:7" outlineLevel="1" x14ac:dyDescent="0.35">
      <c r="A259" s="8" t="s">
        <v>86</v>
      </c>
      <c r="B259" s="8" t="s">
        <v>515</v>
      </c>
      <c r="C259" s="8">
        <v>2</v>
      </c>
      <c r="D259" s="8" t="s">
        <v>2451</v>
      </c>
      <c r="E259" s="8" t="s">
        <v>2451</v>
      </c>
      <c r="F259" s="8" t="s">
        <v>2451</v>
      </c>
      <c r="G259" s="8" t="s">
        <v>2451</v>
      </c>
    </row>
    <row r="260" spans="1:7" outlineLevel="2" x14ac:dyDescent="0.35">
      <c r="A260" s="8" t="s">
        <v>2451</v>
      </c>
      <c r="B260" s="8" t="s">
        <v>2451</v>
      </c>
      <c r="C260" s="8"/>
      <c r="D260" s="8" t="s">
        <v>1903</v>
      </c>
      <c r="E260" s="8" t="s">
        <v>2451</v>
      </c>
      <c r="F260" s="8" t="s">
        <v>2451</v>
      </c>
      <c r="G260" s="8" t="s">
        <v>2451</v>
      </c>
    </row>
    <row r="261" spans="1:7" outlineLevel="2" x14ac:dyDescent="0.35">
      <c r="A261" s="8" t="s">
        <v>2451</v>
      </c>
      <c r="B261" s="8" t="s">
        <v>2451</v>
      </c>
      <c r="C261" s="8"/>
      <c r="D261" s="8" t="s">
        <v>1904</v>
      </c>
      <c r="E261" s="8" t="s">
        <v>2451</v>
      </c>
      <c r="F261" s="8" t="s">
        <v>2451</v>
      </c>
      <c r="G261" s="8" t="s">
        <v>2451</v>
      </c>
    </row>
    <row r="262" spans="1:7" outlineLevel="1" x14ac:dyDescent="0.35">
      <c r="A262" s="8" t="s">
        <v>59</v>
      </c>
      <c r="B262" s="8" t="s">
        <v>518</v>
      </c>
      <c r="C262" s="8">
        <v>5</v>
      </c>
      <c r="D262" s="8" t="s">
        <v>2451</v>
      </c>
      <c r="E262" s="8" t="s">
        <v>2451</v>
      </c>
      <c r="F262" s="8" t="s">
        <v>2451</v>
      </c>
      <c r="G262" s="8" t="s">
        <v>2451</v>
      </c>
    </row>
    <row r="263" spans="1:7" outlineLevel="2" x14ac:dyDescent="0.35">
      <c r="A263" s="8" t="s">
        <v>2451</v>
      </c>
      <c r="B263" s="8" t="s">
        <v>2451</v>
      </c>
      <c r="C263" s="8"/>
      <c r="D263" s="8" t="s">
        <v>1898</v>
      </c>
      <c r="E263" s="8" t="s">
        <v>2451</v>
      </c>
      <c r="F263" s="8" t="s">
        <v>2451</v>
      </c>
      <c r="G263" s="8" t="s">
        <v>2451</v>
      </c>
    </row>
    <row r="264" spans="1:7" outlineLevel="2" x14ac:dyDescent="0.35">
      <c r="A264" s="8" t="s">
        <v>2451</v>
      </c>
      <c r="B264" s="8" t="s">
        <v>2451</v>
      </c>
      <c r="C264" s="8"/>
      <c r="D264" s="8" t="s">
        <v>1899</v>
      </c>
      <c r="E264" s="8" t="s">
        <v>2451</v>
      </c>
      <c r="F264" s="8" t="s">
        <v>2451</v>
      </c>
      <c r="G264" s="8" t="s">
        <v>2451</v>
      </c>
    </row>
    <row r="265" spans="1:7" outlineLevel="2" x14ac:dyDescent="0.35">
      <c r="A265" s="8" t="s">
        <v>2451</v>
      </c>
      <c r="B265" s="8" t="s">
        <v>2451</v>
      </c>
      <c r="C265" s="8"/>
      <c r="D265" s="8" t="s">
        <v>1900</v>
      </c>
      <c r="E265" s="8" t="s">
        <v>2451</v>
      </c>
      <c r="F265" s="8" t="s">
        <v>2451</v>
      </c>
      <c r="G265" s="8" t="s">
        <v>2451</v>
      </c>
    </row>
    <row r="266" spans="1:7" outlineLevel="2" x14ac:dyDescent="0.35">
      <c r="A266" s="8" t="s">
        <v>2451</v>
      </c>
      <c r="B266" s="8" t="s">
        <v>2451</v>
      </c>
      <c r="C266" s="8"/>
      <c r="D266" s="8" t="s">
        <v>1901</v>
      </c>
      <c r="E266" s="8" t="s">
        <v>2451</v>
      </c>
      <c r="F266" s="8" t="s">
        <v>2451</v>
      </c>
      <c r="G266" s="8" t="s">
        <v>2451</v>
      </c>
    </row>
    <row r="267" spans="1:7" outlineLevel="2" x14ac:dyDescent="0.35">
      <c r="A267" s="8" t="s">
        <v>2451</v>
      </c>
      <c r="B267" s="8" t="s">
        <v>2451</v>
      </c>
      <c r="C267" s="8"/>
      <c r="D267" s="8" t="s">
        <v>1902</v>
      </c>
      <c r="E267" s="8" t="s">
        <v>2451</v>
      </c>
      <c r="F267" s="8" t="s">
        <v>2451</v>
      </c>
      <c r="G267" s="8" t="s">
        <v>2451</v>
      </c>
    </row>
    <row r="268" spans="1:7" outlineLevel="1" x14ac:dyDescent="0.35">
      <c r="A268" s="8" t="s">
        <v>59</v>
      </c>
      <c r="B268" s="8" t="s">
        <v>522</v>
      </c>
      <c r="C268" s="8">
        <v>7</v>
      </c>
      <c r="D268" s="8" t="s">
        <v>2451</v>
      </c>
      <c r="E268" s="8" t="s">
        <v>2451</v>
      </c>
      <c r="F268" s="8" t="s">
        <v>2451</v>
      </c>
      <c r="G268" s="8" t="s">
        <v>2451</v>
      </c>
    </row>
    <row r="269" spans="1:7" outlineLevel="2" x14ac:dyDescent="0.35">
      <c r="A269" s="8" t="s">
        <v>2451</v>
      </c>
      <c r="B269" s="8" t="s">
        <v>2451</v>
      </c>
      <c r="C269" s="8"/>
      <c r="D269" s="8" t="s">
        <v>1891</v>
      </c>
      <c r="E269" s="8" t="s">
        <v>2451</v>
      </c>
      <c r="F269" s="8" t="s">
        <v>2451</v>
      </c>
      <c r="G269" s="8" t="s">
        <v>2451</v>
      </c>
    </row>
    <row r="270" spans="1:7" outlineLevel="2" x14ac:dyDescent="0.35">
      <c r="A270" s="8" t="s">
        <v>2451</v>
      </c>
      <c r="B270" s="8" t="s">
        <v>2451</v>
      </c>
      <c r="C270" s="8"/>
      <c r="D270" s="8" t="s">
        <v>1892</v>
      </c>
      <c r="E270" s="8" t="s">
        <v>2451</v>
      </c>
      <c r="F270" s="8" t="s">
        <v>2451</v>
      </c>
      <c r="G270" s="8" t="s">
        <v>2451</v>
      </c>
    </row>
    <row r="271" spans="1:7" outlineLevel="2" x14ac:dyDescent="0.35">
      <c r="A271" s="8" t="s">
        <v>2451</v>
      </c>
      <c r="B271" s="8" t="s">
        <v>2451</v>
      </c>
      <c r="C271" s="8"/>
      <c r="D271" s="8" t="s">
        <v>1893</v>
      </c>
      <c r="E271" s="8" t="s">
        <v>2451</v>
      </c>
      <c r="F271" s="8" t="s">
        <v>2451</v>
      </c>
      <c r="G271" s="8" t="s">
        <v>2451</v>
      </c>
    </row>
    <row r="272" spans="1:7" outlineLevel="2" x14ac:dyDescent="0.35">
      <c r="A272" s="8" t="s">
        <v>2451</v>
      </c>
      <c r="B272" s="8" t="s">
        <v>2451</v>
      </c>
      <c r="C272" s="8"/>
      <c r="D272" s="8" t="s">
        <v>1894</v>
      </c>
      <c r="E272" s="8" t="s">
        <v>2451</v>
      </c>
      <c r="F272" s="8" t="s">
        <v>2451</v>
      </c>
      <c r="G272" s="8" t="s">
        <v>2451</v>
      </c>
    </row>
    <row r="273" spans="1:7" outlineLevel="2" x14ac:dyDescent="0.35">
      <c r="A273" s="8" t="s">
        <v>2451</v>
      </c>
      <c r="B273" s="8" t="s">
        <v>2451</v>
      </c>
      <c r="C273" s="8"/>
      <c r="D273" s="8" t="s">
        <v>1895</v>
      </c>
      <c r="E273" s="8" t="s">
        <v>2451</v>
      </c>
      <c r="F273" s="8" t="s">
        <v>2451</v>
      </c>
      <c r="G273" s="8" t="s">
        <v>2451</v>
      </c>
    </row>
    <row r="274" spans="1:7" outlineLevel="2" x14ac:dyDescent="0.35">
      <c r="A274" s="8" t="s">
        <v>2451</v>
      </c>
      <c r="B274" s="8" t="s">
        <v>2451</v>
      </c>
      <c r="C274" s="8"/>
      <c r="D274" s="8" t="s">
        <v>1896</v>
      </c>
      <c r="E274" s="8" t="s">
        <v>2451</v>
      </c>
      <c r="F274" s="8" t="s">
        <v>2451</v>
      </c>
      <c r="G274" s="8" t="s">
        <v>2451</v>
      </c>
    </row>
    <row r="275" spans="1:7" outlineLevel="2" x14ac:dyDescent="0.35">
      <c r="A275" s="8" t="s">
        <v>2451</v>
      </c>
      <c r="B275" s="8" t="s">
        <v>2451</v>
      </c>
      <c r="C275" s="8"/>
      <c r="D275" s="8" t="s">
        <v>1897</v>
      </c>
      <c r="E275" s="8" t="s">
        <v>2451</v>
      </c>
      <c r="F275" s="8" t="s">
        <v>2451</v>
      </c>
      <c r="G275" s="8" t="s">
        <v>2451</v>
      </c>
    </row>
    <row r="276" spans="1:7" outlineLevel="1" x14ac:dyDescent="0.35">
      <c r="A276" s="8" t="s">
        <v>103</v>
      </c>
      <c r="B276" s="8" t="s">
        <v>524</v>
      </c>
      <c r="C276" s="8">
        <v>4</v>
      </c>
      <c r="D276" s="8" t="s">
        <v>2451</v>
      </c>
      <c r="E276" s="8" t="s">
        <v>2451</v>
      </c>
      <c r="F276" s="8" t="s">
        <v>2451</v>
      </c>
      <c r="G276" s="8" t="s">
        <v>2451</v>
      </c>
    </row>
    <row r="277" spans="1:7" outlineLevel="2" x14ac:dyDescent="0.35">
      <c r="A277" s="8" t="s">
        <v>2451</v>
      </c>
      <c r="B277" s="8" t="s">
        <v>2451</v>
      </c>
      <c r="C277" s="8"/>
      <c r="D277" s="8" t="s">
        <v>1887</v>
      </c>
      <c r="E277" s="8" t="s">
        <v>2451</v>
      </c>
      <c r="F277" s="8" t="s">
        <v>2451</v>
      </c>
      <c r="G277" s="8" t="s">
        <v>2451</v>
      </c>
    </row>
    <row r="278" spans="1:7" outlineLevel="2" x14ac:dyDescent="0.35">
      <c r="A278" s="8" t="s">
        <v>2451</v>
      </c>
      <c r="B278" s="8" t="s">
        <v>2451</v>
      </c>
      <c r="C278" s="8"/>
      <c r="D278" s="8" t="s">
        <v>1888</v>
      </c>
      <c r="E278" s="8" t="s">
        <v>2451</v>
      </c>
      <c r="F278" s="8" t="s">
        <v>2451</v>
      </c>
      <c r="G278" s="8" t="s">
        <v>2451</v>
      </c>
    </row>
    <row r="279" spans="1:7" outlineLevel="2" x14ac:dyDescent="0.35">
      <c r="A279" s="8" t="s">
        <v>2451</v>
      </c>
      <c r="B279" s="8" t="s">
        <v>2451</v>
      </c>
      <c r="C279" s="8"/>
      <c r="D279" s="8" t="s">
        <v>1889</v>
      </c>
      <c r="E279" s="8" t="s">
        <v>2451</v>
      </c>
      <c r="F279" s="8" t="s">
        <v>2451</v>
      </c>
      <c r="G279" s="8" t="s">
        <v>2451</v>
      </c>
    </row>
    <row r="280" spans="1:7" outlineLevel="2" x14ac:dyDescent="0.35">
      <c r="A280" s="8" t="s">
        <v>2451</v>
      </c>
      <c r="B280" s="8" t="s">
        <v>2451</v>
      </c>
      <c r="C280" s="8"/>
      <c r="D280" s="8" t="s">
        <v>1890</v>
      </c>
      <c r="E280" s="8" t="s">
        <v>2451</v>
      </c>
      <c r="F280" s="8" t="s">
        <v>2451</v>
      </c>
      <c r="G280" s="8" t="s">
        <v>2451</v>
      </c>
    </row>
    <row r="281" spans="1:7" outlineLevel="1" x14ac:dyDescent="0.35">
      <c r="A281" s="8" t="s">
        <v>103</v>
      </c>
      <c r="B281" s="8" t="s">
        <v>529</v>
      </c>
      <c r="C281" s="8">
        <v>8</v>
      </c>
      <c r="D281" s="8" t="s">
        <v>2451</v>
      </c>
      <c r="E281" s="8" t="s">
        <v>2451</v>
      </c>
      <c r="F281" s="8" t="s">
        <v>2451</v>
      </c>
      <c r="G281" s="8" t="s">
        <v>2451</v>
      </c>
    </row>
    <row r="282" spans="1:7" outlineLevel="2" x14ac:dyDescent="0.35">
      <c r="A282" s="8" t="s">
        <v>2451</v>
      </c>
      <c r="B282" s="8" t="s">
        <v>2451</v>
      </c>
      <c r="C282" s="8"/>
      <c r="D282" s="8" t="s">
        <v>1879</v>
      </c>
      <c r="E282" s="8" t="s">
        <v>2451</v>
      </c>
      <c r="F282" s="8" t="s">
        <v>2451</v>
      </c>
      <c r="G282" s="8" t="s">
        <v>2451</v>
      </c>
    </row>
    <row r="283" spans="1:7" outlineLevel="2" x14ac:dyDescent="0.35">
      <c r="A283" s="8" t="s">
        <v>2451</v>
      </c>
      <c r="B283" s="8" t="s">
        <v>2451</v>
      </c>
      <c r="C283" s="8"/>
      <c r="D283" s="8" t="s">
        <v>1880</v>
      </c>
      <c r="E283" s="8" t="s">
        <v>2451</v>
      </c>
      <c r="F283" s="8" t="s">
        <v>2451</v>
      </c>
      <c r="G283" s="8" t="s">
        <v>2451</v>
      </c>
    </row>
    <row r="284" spans="1:7" outlineLevel="2" x14ac:dyDescent="0.35">
      <c r="A284" s="8" t="s">
        <v>2451</v>
      </c>
      <c r="B284" s="8" t="s">
        <v>2451</v>
      </c>
      <c r="C284" s="8"/>
      <c r="D284" s="8" t="s">
        <v>1881</v>
      </c>
      <c r="E284" s="8" t="s">
        <v>2451</v>
      </c>
      <c r="F284" s="8" t="s">
        <v>2451</v>
      </c>
      <c r="G284" s="8" t="s">
        <v>2451</v>
      </c>
    </row>
    <row r="285" spans="1:7" outlineLevel="2" x14ac:dyDescent="0.35">
      <c r="A285" s="8" t="s">
        <v>2451</v>
      </c>
      <c r="B285" s="8" t="s">
        <v>2451</v>
      </c>
      <c r="C285" s="8"/>
      <c r="D285" s="8" t="s">
        <v>1882</v>
      </c>
      <c r="E285" s="8" t="s">
        <v>2451</v>
      </c>
      <c r="F285" s="8" t="s">
        <v>2451</v>
      </c>
      <c r="G285" s="8" t="s">
        <v>2451</v>
      </c>
    </row>
    <row r="286" spans="1:7" outlineLevel="2" x14ac:dyDescent="0.35">
      <c r="A286" s="8" t="s">
        <v>2451</v>
      </c>
      <c r="B286" s="8" t="s">
        <v>2451</v>
      </c>
      <c r="C286" s="8"/>
      <c r="D286" s="8" t="s">
        <v>1883</v>
      </c>
      <c r="E286" s="8" t="s">
        <v>2451</v>
      </c>
      <c r="F286" s="8" t="s">
        <v>2451</v>
      </c>
      <c r="G286" s="8" t="s">
        <v>2451</v>
      </c>
    </row>
    <row r="287" spans="1:7" outlineLevel="2" x14ac:dyDescent="0.35">
      <c r="A287" s="8" t="s">
        <v>2451</v>
      </c>
      <c r="B287" s="8" t="s">
        <v>2451</v>
      </c>
      <c r="C287" s="8"/>
      <c r="D287" s="8" t="s">
        <v>1884</v>
      </c>
      <c r="E287" s="8" t="s">
        <v>2451</v>
      </c>
      <c r="F287" s="8" t="s">
        <v>2451</v>
      </c>
      <c r="G287" s="8" t="s">
        <v>2451</v>
      </c>
    </row>
    <row r="288" spans="1:7" outlineLevel="2" x14ac:dyDescent="0.35">
      <c r="A288" s="8" t="s">
        <v>2451</v>
      </c>
      <c r="B288" s="8" t="s">
        <v>2451</v>
      </c>
      <c r="C288" s="8"/>
      <c r="D288" s="8" t="s">
        <v>1885</v>
      </c>
      <c r="E288" s="8" t="s">
        <v>2451</v>
      </c>
      <c r="F288" s="8" t="s">
        <v>2451</v>
      </c>
      <c r="G288" s="8" t="s">
        <v>2451</v>
      </c>
    </row>
    <row r="289" spans="1:7" outlineLevel="2" x14ac:dyDescent="0.35">
      <c r="A289" s="8" t="s">
        <v>2451</v>
      </c>
      <c r="B289" s="8" t="s">
        <v>2451</v>
      </c>
      <c r="C289" s="8"/>
      <c r="D289" s="8" t="s">
        <v>1886</v>
      </c>
      <c r="E289" s="8" t="s">
        <v>2451</v>
      </c>
      <c r="F289" s="8" t="s">
        <v>2451</v>
      </c>
      <c r="G289" s="8" t="s">
        <v>2451</v>
      </c>
    </row>
    <row r="290" spans="1:7" outlineLevel="1" x14ac:dyDescent="0.35">
      <c r="A290" s="8" t="s">
        <v>124</v>
      </c>
      <c r="B290" s="8" t="s">
        <v>533</v>
      </c>
      <c r="C290" s="8">
        <v>2</v>
      </c>
      <c r="D290" s="8" t="s">
        <v>2451</v>
      </c>
      <c r="E290" s="8" t="s">
        <v>2451</v>
      </c>
      <c r="F290" s="8" t="s">
        <v>2451</v>
      </c>
      <c r="G290" s="8" t="s">
        <v>2451</v>
      </c>
    </row>
    <row r="291" spans="1:7" outlineLevel="2" x14ac:dyDescent="0.35">
      <c r="A291" s="8" t="s">
        <v>2451</v>
      </c>
      <c r="B291" s="8" t="s">
        <v>2451</v>
      </c>
      <c r="C291" s="8"/>
      <c r="D291" s="8" t="s">
        <v>1877</v>
      </c>
      <c r="E291" s="8" t="s">
        <v>2451</v>
      </c>
      <c r="F291" s="8" t="s">
        <v>2451</v>
      </c>
      <c r="G291" s="8" t="s">
        <v>2451</v>
      </c>
    </row>
    <row r="292" spans="1:7" outlineLevel="2" x14ac:dyDescent="0.35">
      <c r="A292" s="8" t="s">
        <v>2451</v>
      </c>
      <c r="B292" s="8" t="s">
        <v>2451</v>
      </c>
      <c r="C292" s="8"/>
      <c r="D292" s="8" t="s">
        <v>1878</v>
      </c>
      <c r="E292" s="8" t="s">
        <v>2451</v>
      </c>
      <c r="F292" s="8" t="s">
        <v>2451</v>
      </c>
      <c r="G292" s="8" t="s">
        <v>2451</v>
      </c>
    </row>
    <row r="293" spans="1:7" outlineLevel="1" x14ac:dyDescent="0.35">
      <c r="A293" s="8" t="s">
        <v>124</v>
      </c>
      <c r="B293" s="8" t="s">
        <v>536</v>
      </c>
      <c r="C293" s="8">
        <v>7</v>
      </c>
      <c r="D293" s="8" t="s">
        <v>2451</v>
      </c>
      <c r="E293" s="8" t="s">
        <v>2451</v>
      </c>
      <c r="F293" s="8" t="s">
        <v>2451</v>
      </c>
      <c r="G293" s="8" t="s">
        <v>2451</v>
      </c>
    </row>
    <row r="294" spans="1:7" outlineLevel="2" x14ac:dyDescent="0.35">
      <c r="A294" s="8" t="s">
        <v>2451</v>
      </c>
      <c r="B294" s="8" t="s">
        <v>2451</v>
      </c>
      <c r="C294" s="8"/>
      <c r="D294" s="8" t="s">
        <v>1870</v>
      </c>
      <c r="E294" s="8" t="s">
        <v>2451</v>
      </c>
      <c r="F294" s="8" t="s">
        <v>2451</v>
      </c>
      <c r="G294" s="8" t="s">
        <v>2451</v>
      </c>
    </row>
    <row r="295" spans="1:7" outlineLevel="2" x14ac:dyDescent="0.35">
      <c r="A295" s="8" t="s">
        <v>2451</v>
      </c>
      <c r="B295" s="8" t="s">
        <v>2451</v>
      </c>
      <c r="C295" s="8"/>
      <c r="D295" s="8" t="s">
        <v>1871</v>
      </c>
      <c r="E295" s="8" t="s">
        <v>2451</v>
      </c>
      <c r="F295" s="8" t="s">
        <v>2451</v>
      </c>
      <c r="G295" s="8" t="s">
        <v>2451</v>
      </c>
    </row>
    <row r="296" spans="1:7" outlineLevel="2" x14ac:dyDescent="0.35">
      <c r="A296" s="8" t="s">
        <v>2451</v>
      </c>
      <c r="B296" s="8" t="s">
        <v>2451</v>
      </c>
      <c r="C296" s="8"/>
      <c r="D296" s="8" t="s">
        <v>1872</v>
      </c>
      <c r="E296" s="8" t="s">
        <v>2451</v>
      </c>
      <c r="F296" s="8" t="s">
        <v>2451</v>
      </c>
      <c r="G296" s="8" t="s">
        <v>2451</v>
      </c>
    </row>
    <row r="297" spans="1:7" outlineLevel="2" x14ac:dyDescent="0.35">
      <c r="A297" s="8" t="s">
        <v>2451</v>
      </c>
      <c r="B297" s="8" t="s">
        <v>2451</v>
      </c>
      <c r="C297" s="8"/>
      <c r="D297" s="8" t="s">
        <v>1873</v>
      </c>
      <c r="E297" s="8" t="s">
        <v>2451</v>
      </c>
      <c r="F297" s="8" t="s">
        <v>2451</v>
      </c>
      <c r="G297" s="8" t="s">
        <v>2451</v>
      </c>
    </row>
    <row r="298" spans="1:7" outlineLevel="2" x14ac:dyDescent="0.35">
      <c r="A298" s="8" t="s">
        <v>2451</v>
      </c>
      <c r="B298" s="8" t="s">
        <v>2451</v>
      </c>
      <c r="C298" s="8"/>
      <c r="D298" s="8" t="s">
        <v>1874</v>
      </c>
      <c r="E298" s="8" t="s">
        <v>2451</v>
      </c>
      <c r="F298" s="8" t="s">
        <v>2451</v>
      </c>
      <c r="G298" s="8" t="s">
        <v>2451</v>
      </c>
    </row>
    <row r="299" spans="1:7" outlineLevel="2" x14ac:dyDescent="0.35">
      <c r="A299" s="8" t="s">
        <v>2451</v>
      </c>
      <c r="B299" s="8" t="s">
        <v>2451</v>
      </c>
      <c r="C299" s="8"/>
      <c r="D299" s="8" t="s">
        <v>1875</v>
      </c>
      <c r="E299" s="8" t="s">
        <v>2451</v>
      </c>
      <c r="F299" s="8" t="s">
        <v>2451</v>
      </c>
      <c r="G299" s="8" t="s">
        <v>2451</v>
      </c>
    </row>
    <row r="300" spans="1:7" outlineLevel="2" x14ac:dyDescent="0.35">
      <c r="A300" s="8" t="s">
        <v>2451</v>
      </c>
      <c r="B300" s="8" t="s">
        <v>2451</v>
      </c>
      <c r="C300" s="8"/>
      <c r="D300" s="8" t="s">
        <v>1876</v>
      </c>
      <c r="E300" s="8" t="s">
        <v>2451</v>
      </c>
      <c r="F300" s="8" t="s">
        <v>2451</v>
      </c>
      <c r="G300" s="8" t="s">
        <v>2451</v>
      </c>
    </row>
    <row r="301" spans="1:7" outlineLevel="1" x14ac:dyDescent="0.35">
      <c r="A301" s="8" t="s">
        <v>124</v>
      </c>
      <c r="B301" s="8" t="s">
        <v>540</v>
      </c>
      <c r="C301" s="8">
        <v>5</v>
      </c>
      <c r="D301" s="8" t="s">
        <v>2451</v>
      </c>
      <c r="E301" s="8" t="s">
        <v>2451</v>
      </c>
      <c r="F301" s="8" t="s">
        <v>2451</v>
      </c>
      <c r="G301" s="8" t="s">
        <v>2451</v>
      </c>
    </row>
    <row r="302" spans="1:7" outlineLevel="2" x14ac:dyDescent="0.35">
      <c r="A302" s="8" t="s">
        <v>2451</v>
      </c>
      <c r="B302" s="8" t="s">
        <v>2451</v>
      </c>
      <c r="C302" s="8"/>
      <c r="D302" s="8" t="s">
        <v>1865</v>
      </c>
      <c r="E302" s="8" t="s">
        <v>2451</v>
      </c>
      <c r="F302" s="8" t="s">
        <v>2451</v>
      </c>
      <c r="G302" s="8" t="s">
        <v>2451</v>
      </c>
    </row>
    <row r="303" spans="1:7" outlineLevel="2" x14ac:dyDescent="0.35">
      <c r="A303" s="8" t="s">
        <v>2451</v>
      </c>
      <c r="B303" s="8" t="s">
        <v>2451</v>
      </c>
      <c r="C303" s="8"/>
      <c r="D303" s="8" t="s">
        <v>1866</v>
      </c>
      <c r="E303" s="8" t="s">
        <v>2451</v>
      </c>
      <c r="F303" s="8" t="s">
        <v>2451</v>
      </c>
      <c r="G303" s="8" t="s">
        <v>2451</v>
      </c>
    </row>
    <row r="304" spans="1:7" outlineLevel="2" x14ac:dyDescent="0.35">
      <c r="A304" s="8" t="s">
        <v>2451</v>
      </c>
      <c r="B304" s="8" t="s">
        <v>2451</v>
      </c>
      <c r="C304" s="8"/>
      <c r="D304" s="8" t="s">
        <v>1867</v>
      </c>
      <c r="E304" s="8" t="s">
        <v>2451</v>
      </c>
      <c r="F304" s="8" t="s">
        <v>2451</v>
      </c>
      <c r="G304" s="8" t="s">
        <v>2451</v>
      </c>
    </row>
    <row r="305" spans="1:7" outlineLevel="2" x14ac:dyDescent="0.35">
      <c r="A305" s="8" t="s">
        <v>2451</v>
      </c>
      <c r="B305" s="8" t="s">
        <v>2451</v>
      </c>
      <c r="C305" s="8"/>
      <c r="D305" s="8" t="s">
        <v>1868</v>
      </c>
      <c r="E305" s="8" t="s">
        <v>2451</v>
      </c>
      <c r="F305" s="8" t="s">
        <v>2451</v>
      </c>
      <c r="G305" s="8" t="s">
        <v>2451</v>
      </c>
    </row>
    <row r="306" spans="1:7" outlineLevel="2" x14ac:dyDescent="0.35">
      <c r="A306" s="8" t="s">
        <v>2451</v>
      </c>
      <c r="B306" s="8" t="s">
        <v>2451</v>
      </c>
      <c r="C306" s="8"/>
      <c r="D306" s="8" t="s">
        <v>1869</v>
      </c>
      <c r="E306" s="8" t="s">
        <v>2451</v>
      </c>
      <c r="F306" s="8" t="s">
        <v>2451</v>
      </c>
      <c r="G306" s="8" t="s">
        <v>2451</v>
      </c>
    </row>
    <row r="307" spans="1:7" outlineLevel="1" x14ac:dyDescent="0.35">
      <c r="A307" s="8" t="s">
        <v>124</v>
      </c>
      <c r="B307" s="8" t="s">
        <v>544</v>
      </c>
      <c r="C307" s="8">
        <v>3</v>
      </c>
      <c r="D307" s="8" t="s">
        <v>2451</v>
      </c>
      <c r="E307" s="8" t="s">
        <v>2451</v>
      </c>
      <c r="F307" s="8" t="s">
        <v>2451</v>
      </c>
      <c r="G307" s="8" t="s">
        <v>2451</v>
      </c>
    </row>
    <row r="308" spans="1:7" outlineLevel="2" x14ac:dyDescent="0.35">
      <c r="A308" s="8" t="s">
        <v>2451</v>
      </c>
      <c r="B308" s="8" t="s">
        <v>2451</v>
      </c>
      <c r="C308" s="8"/>
      <c r="D308" s="8" t="s">
        <v>1862</v>
      </c>
      <c r="E308" s="8" t="s">
        <v>2451</v>
      </c>
      <c r="F308" s="8" t="s">
        <v>2451</v>
      </c>
      <c r="G308" s="8" t="s">
        <v>2451</v>
      </c>
    </row>
    <row r="309" spans="1:7" outlineLevel="2" x14ac:dyDescent="0.35">
      <c r="A309" s="8" t="s">
        <v>2451</v>
      </c>
      <c r="B309" s="8" t="s">
        <v>2451</v>
      </c>
      <c r="C309" s="8"/>
      <c r="D309" s="8" t="s">
        <v>1863</v>
      </c>
      <c r="E309" s="8" t="s">
        <v>2451</v>
      </c>
      <c r="F309" s="8" t="s">
        <v>2451</v>
      </c>
      <c r="G309" s="8" t="s">
        <v>2451</v>
      </c>
    </row>
    <row r="310" spans="1:7" outlineLevel="2" x14ac:dyDescent="0.35">
      <c r="A310" s="8" t="s">
        <v>2451</v>
      </c>
      <c r="B310" s="8" t="s">
        <v>2451</v>
      </c>
      <c r="C310" s="8"/>
      <c r="D310" s="8" t="s">
        <v>1864</v>
      </c>
      <c r="E310" s="8" t="s">
        <v>2451</v>
      </c>
      <c r="F310" s="8" t="s">
        <v>2451</v>
      </c>
      <c r="G310" s="8" t="s">
        <v>2451</v>
      </c>
    </row>
    <row r="311" spans="1:7" outlineLevel="1" x14ac:dyDescent="0.35">
      <c r="A311" s="8" t="s">
        <v>124</v>
      </c>
      <c r="B311" s="8" t="s">
        <v>548</v>
      </c>
      <c r="C311" s="8">
        <v>4</v>
      </c>
      <c r="D311" s="8" t="s">
        <v>2451</v>
      </c>
      <c r="E311" s="8" t="s">
        <v>2451</v>
      </c>
      <c r="F311" s="8" t="s">
        <v>2451</v>
      </c>
      <c r="G311" s="8" t="s">
        <v>2451</v>
      </c>
    </row>
    <row r="312" spans="1:7" outlineLevel="2" x14ac:dyDescent="0.35">
      <c r="A312" s="8" t="s">
        <v>2451</v>
      </c>
      <c r="B312" s="8" t="s">
        <v>2451</v>
      </c>
      <c r="C312" s="8"/>
      <c r="D312" s="8" t="s">
        <v>1858</v>
      </c>
      <c r="E312" s="8" t="s">
        <v>2451</v>
      </c>
      <c r="F312" s="8" t="s">
        <v>2451</v>
      </c>
      <c r="G312" s="8" t="s">
        <v>2451</v>
      </c>
    </row>
    <row r="313" spans="1:7" outlineLevel="2" x14ac:dyDescent="0.35">
      <c r="A313" s="8" t="s">
        <v>2451</v>
      </c>
      <c r="B313" s="8" t="s">
        <v>2451</v>
      </c>
      <c r="C313" s="8"/>
      <c r="D313" s="8" t="s">
        <v>1859</v>
      </c>
      <c r="E313" s="8" t="s">
        <v>2451</v>
      </c>
      <c r="F313" s="8" t="s">
        <v>2451</v>
      </c>
      <c r="G313" s="8" t="s">
        <v>2451</v>
      </c>
    </row>
    <row r="314" spans="1:7" outlineLevel="2" x14ac:dyDescent="0.35">
      <c r="A314" s="8" t="s">
        <v>2451</v>
      </c>
      <c r="B314" s="8" t="s">
        <v>2451</v>
      </c>
      <c r="C314" s="8"/>
      <c r="D314" s="8" t="s">
        <v>1860</v>
      </c>
      <c r="E314" s="8" t="s">
        <v>2451</v>
      </c>
      <c r="F314" s="8" t="s">
        <v>2451</v>
      </c>
      <c r="G314" s="8" t="s">
        <v>2451</v>
      </c>
    </row>
    <row r="315" spans="1:7" outlineLevel="2" x14ac:dyDescent="0.35">
      <c r="A315" s="8" t="s">
        <v>2451</v>
      </c>
      <c r="B315" s="8" t="s">
        <v>2451</v>
      </c>
      <c r="C315" s="8"/>
      <c r="D315" s="8" t="s">
        <v>1861</v>
      </c>
      <c r="E315" s="8" t="s">
        <v>2451</v>
      </c>
      <c r="F315" s="8" t="s">
        <v>2451</v>
      </c>
      <c r="G315" s="8" t="s">
        <v>2451</v>
      </c>
    </row>
    <row r="316" spans="1:7" outlineLevel="1" x14ac:dyDescent="0.35">
      <c r="A316" s="8" t="s">
        <v>124</v>
      </c>
      <c r="B316" s="8" t="s">
        <v>551</v>
      </c>
      <c r="C316" s="8">
        <v>2</v>
      </c>
      <c r="D316" s="8" t="s">
        <v>2451</v>
      </c>
      <c r="E316" s="8" t="s">
        <v>2451</v>
      </c>
      <c r="F316" s="8" t="s">
        <v>2451</v>
      </c>
      <c r="G316" s="8" t="s">
        <v>2451</v>
      </c>
    </row>
    <row r="317" spans="1:7" outlineLevel="2" x14ac:dyDescent="0.35">
      <c r="A317" s="8" t="s">
        <v>2451</v>
      </c>
      <c r="B317" s="8" t="s">
        <v>2451</v>
      </c>
      <c r="C317" s="8"/>
      <c r="D317" s="8" t="s">
        <v>1856</v>
      </c>
      <c r="E317" s="8" t="s">
        <v>2451</v>
      </c>
      <c r="F317" s="8" t="s">
        <v>2451</v>
      </c>
      <c r="G317" s="8" t="s">
        <v>2451</v>
      </c>
    </row>
    <row r="318" spans="1:7" outlineLevel="2" x14ac:dyDescent="0.35">
      <c r="A318" s="8" t="s">
        <v>2451</v>
      </c>
      <c r="B318" s="8" t="s">
        <v>2451</v>
      </c>
      <c r="C318" s="8"/>
      <c r="D318" s="8" t="s">
        <v>1857</v>
      </c>
      <c r="E318" s="8" t="s">
        <v>2451</v>
      </c>
      <c r="F318" s="8" t="s">
        <v>2451</v>
      </c>
      <c r="G318" s="8" t="s">
        <v>2451</v>
      </c>
    </row>
    <row r="319" spans="1:7" outlineLevel="1" x14ac:dyDescent="0.35">
      <c r="A319" s="8" t="s">
        <v>124</v>
      </c>
      <c r="B319" s="8" t="s">
        <v>554</v>
      </c>
      <c r="C319" s="8">
        <v>4</v>
      </c>
      <c r="D319" s="8" t="s">
        <v>2451</v>
      </c>
      <c r="E319" s="8" t="s">
        <v>2451</v>
      </c>
      <c r="F319" s="8" t="s">
        <v>2451</v>
      </c>
      <c r="G319" s="8" t="s">
        <v>2451</v>
      </c>
    </row>
    <row r="320" spans="1:7" outlineLevel="2" x14ac:dyDescent="0.35">
      <c r="A320" s="8" t="s">
        <v>2451</v>
      </c>
      <c r="B320" s="8" t="s">
        <v>2451</v>
      </c>
      <c r="C320" s="8"/>
      <c r="D320" s="8" t="s">
        <v>1852</v>
      </c>
      <c r="E320" s="8" t="s">
        <v>2451</v>
      </c>
      <c r="F320" s="8" t="s">
        <v>2451</v>
      </c>
      <c r="G320" s="8" t="s">
        <v>2451</v>
      </c>
    </row>
    <row r="321" spans="1:7" outlineLevel="2" x14ac:dyDescent="0.35">
      <c r="A321" s="8" t="s">
        <v>2451</v>
      </c>
      <c r="B321" s="8" t="s">
        <v>2451</v>
      </c>
      <c r="C321" s="8"/>
      <c r="D321" s="8" t="s">
        <v>1853</v>
      </c>
      <c r="E321" s="8" t="s">
        <v>2451</v>
      </c>
      <c r="F321" s="8" t="s">
        <v>2451</v>
      </c>
      <c r="G321" s="8" t="s">
        <v>2451</v>
      </c>
    </row>
    <row r="322" spans="1:7" outlineLevel="2" x14ac:dyDescent="0.35">
      <c r="A322" s="8" t="s">
        <v>2451</v>
      </c>
      <c r="B322" s="8" t="s">
        <v>2451</v>
      </c>
      <c r="C322" s="8"/>
      <c r="D322" s="8" t="s">
        <v>1854</v>
      </c>
      <c r="E322" s="8" t="s">
        <v>2451</v>
      </c>
      <c r="F322" s="8" t="s">
        <v>2451</v>
      </c>
      <c r="G322" s="8" t="s">
        <v>2451</v>
      </c>
    </row>
    <row r="323" spans="1:7" outlineLevel="2" x14ac:dyDescent="0.35">
      <c r="A323" s="8" t="s">
        <v>2451</v>
      </c>
      <c r="B323" s="8" t="s">
        <v>2451</v>
      </c>
      <c r="C323" s="8"/>
      <c r="D323" s="8" t="s">
        <v>1855</v>
      </c>
      <c r="E323" s="8" t="s">
        <v>2451</v>
      </c>
      <c r="F323" s="8" t="s">
        <v>2451</v>
      </c>
      <c r="G323" s="8" t="s">
        <v>2451</v>
      </c>
    </row>
    <row r="324" spans="1:7" outlineLevel="1" x14ac:dyDescent="0.35">
      <c r="A324" s="8" t="s">
        <v>124</v>
      </c>
      <c r="B324" s="8" t="s">
        <v>555</v>
      </c>
      <c r="C324" s="8">
        <v>11</v>
      </c>
      <c r="D324" s="8" t="s">
        <v>2451</v>
      </c>
      <c r="E324" s="8" t="s">
        <v>2451</v>
      </c>
      <c r="F324" s="8" t="s">
        <v>2451</v>
      </c>
      <c r="G324" s="8" t="s">
        <v>2451</v>
      </c>
    </row>
    <row r="325" spans="1:7" outlineLevel="2" x14ac:dyDescent="0.35">
      <c r="A325" s="8" t="s">
        <v>2451</v>
      </c>
      <c r="B325" s="8" t="s">
        <v>2451</v>
      </c>
      <c r="C325" s="8"/>
      <c r="D325" s="8" t="s">
        <v>1841</v>
      </c>
      <c r="E325" s="8" t="s">
        <v>2451</v>
      </c>
      <c r="F325" s="8" t="s">
        <v>2451</v>
      </c>
      <c r="G325" s="8" t="s">
        <v>2451</v>
      </c>
    </row>
    <row r="326" spans="1:7" outlineLevel="2" x14ac:dyDescent="0.35">
      <c r="A326" s="8" t="s">
        <v>2451</v>
      </c>
      <c r="B326" s="8" t="s">
        <v>2451</v>
      </c>
      <c r="C326" s="8"/>
      <c r="D326" s="8" t="s">
        <v>1842</v>
      </c>
      <c r="E326" s="8" t="s">
        <v>2451</v>
      </c>
      <c r="F326" s="8" t="s">
        <v>2451</v>
      </c>
      <c r="G326" s="8" t="s">
        <v>2451</v>
      </c>
    </row>
    <row r="327" spans="1:7" outlineLevel="2" x14ac:dyDescent="0.35">
      <c r="A327" s="8" t="s">
        <v>2451</v>
      </c>
      <c r="B327" s="8" t="s">
        <v>2451</v>
      </c>
      <c r="C327" s="8"/>
      <c r="D327" s="8" t="s">
        <v>1843</v>
      </c>
      <c r="E327" s="8" t="s">
        <v>2451</v>
      </c>
      <c r="F327" s="8" t="s">
        <v>2451</v>
      </c>
      <c r="G327" s="8" t="s">
        <v>2451</v>
      </c>
    </row>
    <row r="328" spans="1:7" outlineLevel="2" x14ac:dyDescent="0.35">
      <c r="A328" s="8" t="s">
        <v>2451</v>
      </c>
      <c r="B328" s="8" t="s">
        <v>2451</v>
      </c>
      <c r="C328" s="8"/>
      <c r="D328" s="8" t="s">
        <v>1844</v>
      </c>
      <c r="E328" s="8" t="s">
        <v>2451</v>
      </c>
      <c r="F328" s="8" t="s">
        <v>2451</v>
      </c>
      <c r="G328" s="8" t="s">
        <v>2451</v>
      </c>
    </row>
    <row r="329" spans="1:7" outlineLevel="2" x14ac:dyDescent="0.35">
      <c r="A329" s="8" t="s">
        <v>2451</v>
      </c>
      <c r="B329" s="8" t="s">
        <v>2451</v>
      </c>
      <c r="C329" s="8"/>
      <c r="D329" s="8" t="s">
        <v>1845</v>
      </c>
      <c r="E329" s="8" t="s">
        <v>2451</v>
      </c>
      <c r="F329" s="8" t="s">
        <v>2451</v>
      </c>
      <c r="G329" s="8" t="s">
        <v>2451</v>
      </c>
    </row>
    <row r="330" spans="1:7" outlineLevel="2" x14ac:dyDescent="0.35">
      <c r="A330" s="8" t="s">
        <v>2451</v>
      </c>
      <c r="B330" s="8" t="s">
        <v>2451</v>
      </c>
      <c r="C330" s="8"/>
      <c r="D330" s="8" t="s">
        <v>1846</v>
      </c>
      <c r="E330" s="8" t="s">
        <v>2451</v>
      </c>
      <c r="F330" s="8" t="s">
        <v>2451</v>
      </c>
      <c r="G330" s="8" t="s">
        <v>2451</v>
      </c>
    </row>
    <row r="331" spans="1:7" outlineLevel="2" x14ac:dyDescent="0.35">
      <c r="A331" s="8" t="s">
        <v>2451</v>
      </c>
      <c r="B331" s="8" t="s">
        <v>2451</v>
      </c>
      <c r="C331" s="8"/>
      <c r="D331" s="8" t="s">
        <v>1847</v>
      </c>
      <c r="E331" s="8" t="s">
        <v>2451</v>
      </c>
      <c r="F331" s="8" t="s">
        <v>2451</v>
      </c>
      <c r="G331" s="8" t="s">
        <v>2451</v>
      </c>
    </row>
    <row r="332" spans="1:7" outlineLevel="2" x14ac:dyDescent="0.35">
      <c r="A332" s="8" t="s">
        <v>2451</v>
      </c>
      <c r="B332" s="8" t="s">
        <v>2451</v>
      </c>
      <c r="C332" s="8"/>
      <c r="D332" s="8" t="s">
        <v>1848</v>
      </c>
      <c r="E332" s="8" t="s">
        <v>2451</v>
      </c>
      <c r="F332" s="8" t="s">
        <v>2451</v>
      </c>
      <c r="G332" s="8" t="s">
        <v>2451</v>
      </c>
    </row>
    <row r="333" spans="1:7" outlineLevel="2" x14ac:dyDescent="0.35">
      <c r="A333" s="8" t="s">
        <v>2451</v>
      </c>
      <c r="B333" s="8" t="s">
        <v>2451</v>
      </c>
      <c r="C333" s="8"/>
      <c r="D333" s="8" t="s">
        <v>1849</v>
      </c>
      <c r="E333" s="8" t="s">
        <v>2451</v>
      </c>
      <c r="F333" s="8" t="s">
        <v>2451</v>
      </c>
      <c r="G333" s="8" t="s">
        <v>2451</v>
      </c>
    </row>
    <row r="334" spans="1:7" outlineLevel="2" x14ac:dyDescent="0.35">
      <c r="A334" s="8" t="s">
        <v>2451</v>
      </c>
      <c r="B334" s="8" t="s">
        <v>2451</v>
      </c>
      <c r="C334" s="8"/>
      <c r="D334" s="8" t="s">
        <v>1850</v>
      </c>
      <c r="E334" s="8" t="s">
        <v>2451</v>
      </c>
      <c r="F334" s="8" t="s">
        <v>2451</v>
      </c>
      <c r="G334" s="8" t="s">
        <v>2451</v>
      </c>
    </row>
    <row r="335" spans="1:7" outlineLevel="2" x14ac:dyDescent="0.35">
      <c r="A335" s="8" t="s">
        <v>2451</v>
      </c>
      <c r="B335" s="8" t="s">
        <v>2451</v>
      </c>
      <c r="C335" s="8"/>
      <c r="D335" s="8" t="s">
        <v>1851</v>
      </c>
      <c r="E335" s="8" t="s">
        <v>2451</v>
      </c>
      <c r="F335" s="8" t="s">
        <v>2451</v>
      </c>
      <c r="G335" s="8" t="s">
        <v>2451</v>
      </c>
    </row>
    <row r="336" spans="1:7" outlineLevel="1" x14ac:dyDescent="0.35">
      <c r="A336" s="8" t="s">
        <v>124</v>
      </c>
      <c r="B336" s="8" t="s">
        <v>558</v>
      </c>
      <c r="C336" s="8">
        <v>9</v>
      </c>
      <c r="D336" s="8" t="s">
        <v>2451</v>
      </c>
      <c r="E336" s="8" t="s">
        <v>2451</v>
      </c>
      <c r="F336" s="8" t="s">
        <v>2451</v>
      </c>
      <c r="G336" s="8" t="s">
        <v>2451</v>
      </c>
    </row>
    <row r="337" spans="1:7" outlineLevel="2" x14ac:dyDescent="0.35">
      <c r="A337" s="8" t="s">
        <v>2451</v>
      </c>
      <c r="B337" s="8" t="s">
        <v>2451</v>
      </c>
      <c r="C337" s="8"/>
      <c r="D337" s="8" t="s">
        <v>1832</v>
      </c>
      <c r="E337" s="8" t="s">
        <v>2451</v>
      </c>
      <c r="F337" s="8" t="s">
        <v>2451</v>
      </c>
      <c r="G337" s="8" t="s">
        <v>2451</v>
      </c>
    </row>
    <row r="338" spans="1:7" outlineLevel="2" x14ac:dyDescent="0.35">
      <c r="A338" s="8" t="s">
        <v>2451</v>
      </c>
      <c r="B338" s="8" t="s">
        <v>2451</v>
      </c>
      <c r="C338" s="8"/>
      <c r="D338" s="8" t="s">
        <v>1833</v>
      </c>
      <c r="E338" s="8" t="s">
        <v>2451</v>
      </c>
      <c r="F338" s="8" t="s">
        <v>2451</v>
      </c>
      <c r="G338" s="8" t="s">
        <v>2451</v>
      </c>
    </row>
    <row r="339" spans="1:7" outlineLevel="2" x14ac:dyDescent="0.35">
      <c r="A339" s="8" t="s">
        <v>2451</v>
      </c>
      <c r="B339" s="8" t="s">
        <v>2451</v>
      </c>
      <c r="C339" s="8"/>
      <c r="D339" s="8" t="s">
        <v>1834</v>
      </c>
      <c r="E339" s="8" t="s">
        <v>2451</v>
      </c>
      <c r="F339" s="8" t="s">
        <v>2451</v>
      </c>
      <c r="G339" s="8" t="s">
        <v>2451</v>
      </c>
    </row>
    <row r="340" spans="1:7" outlineLevel="2" x14ac:dyDescent="0.35">
      <c r="A340" s="8" t="s">
        <v>2451</v>
      </c>
      <c r="B340" s="8" t="s">
        <v>2451</v>
      </c>
      <c r="C340" s="8"/>
      <c r="D340" s="8" t="s">
        <v>1835</v>
      </c>
      <c r="E340" s="8" t="s">
        <v>2451</v>
      </c>
      <c r="F340" s="8" t="s">
        <v>2451</v>
      </c>
      <c r="G340" s="8" t="s">
        <v>2451</v>
      </c>
    </row>
    <row r="341" spans="1:7" outlineLevel="2" x14ac:dyDescent="0.35">
      <c r="A341" s="8" t="s">
        <v>2451</v>
      </c>
      <c r="B341" s="8" t="s">
        <v>2451</v>
      </c>
      <c r="C341" s="8"/>
      <c r="D341" s="8" t="s">
        <v>1836</v>
      </c>
      <c r="E341" s="8" t="s">
        <v>2451</v>
      </c>
      <c r="F341" s="8" t="s">
        <v>2451</v>
      </c>
      <c r="G341" s="8" t="s">
        <v>2451</v>
      </c>
    </row>
    <row r="342" spans="1:7" outlineLevel="2" x14ac:dyDescent="0.35">
      <c r="A342" s="8" t="s">
        <v>2451</v>
      </c>
      <c r="B342" s="8" t="s">
        <v>2451</v>
      </c>
      <c r="C342" s="8"/>
      <c r="D342" s="8" t="s">
        <v>1837</v>
      </c>
      <c r="E342" s="8" t="s">
        <v>2451</v>
      </c>
      <c r="F342" s="8" t="s">
        <v>2451</v>
      </c>
      <c r="G342" s="8" t="s">
        <v>2451</v>
      </c>
    </row>
    <row r="343" spans="1:7" outlineLevel="2" x14ac:dyDescent="0.35">
      <c r="A343" s="8" t="s">
        <v>2451</v>
      </c>
      <c r="B343" s="8" t="s">
        <v>2451</v>
      </c>
      <c r="C343" s="8"/>
      <c r="D343" s="8" t="s">
        <v>1838</v>
      </c>
      <c r="E343" s="8" t="s">
        <v>2451</v>
      </c>
      <c r="F343" s="8" t="s">
        <v>2451</v>
      </c>
      <c r="G343" s="8" t="s">
        <v>2451</v>
      </c>
    </row>
    <row r="344" spans="1:7" outlineLevel="2" x14ac:dyDescent="0.35">
      <c r="A344" s="8" t="s">
        <v>2451</v>
      </c>
      <c r="B344" s="8" t="s">
        <v>2451</v>
      </c>
      <c r="C344" s="8"/>
      <c r="D344" s="8" t="s">
        <v>1839</v>
      </c>
      <c r="E344" s="8" t="s">
        <v>2451</v>
      </c>
      <c r="F344" s="8" t="s">
        <v>2451</v>
      </c>
      <c r="G344" s="8" t="s">
        <v>2451</v>
      </c>
    </row>
    <row r="345" spans="1:7" outlineLevel="2" x14ac:dyDescent="0.35">
      <c r="A345" s="8" t="s">
        <v>2451</v>
      </c>
      <c r="B345" s="8" t="s">
        <v>2451</v>
      </c>
      <c r="C345" s="8"/>
      <c r="D345" s="8" t="s">
        <v>1840</v>
      </c>
      <c r="E345" s="8" t="s">
        <v>2451</v>
      </c>
      <c r="F345" s="8" t="s">
        <v>2451</v>
      </c>
      <c r="G345" s="8" t="s">
        <v>2451</v>
      </c>
    </row>
    <row r="346" spans="1:7" outlineLevel="1" x14ac:dyDescent="0.35">
      <c r="A346" s="8" t="s">
        <v>124</v>
      </c>
      <c r="B346" s="8" t="s">
        <v>559</v>
      </c>
      <c r="C346" s="8">
        <v>2</v>
      </c>
      <c r="D346" s="8" t="s">
        <v>2451</v>
      </c>
      <c r="E346" s="8" t="s">
        <v>2451</v>
      </c>
      <c r="F346" s="8" t="s">
        <v>2451</v>
      </c>
      <c r="G346" s="8" t="s">
        <v>2451</v>
      </c>
    </row>
    <row r="347" spans="1:7" outlineLevel="2" x14ac:dyDescent="0.35">
      <c r="A347" s="8" t="s">
        <v>2451</v>
      </c>
      <c r="B347" s="8" t="s">
        <v>2451</v>
      </c>
      <c r="C347" s="8"/>
      <c r="D347" s="8" t="s">
        <v>1830</v>
      </c>
      <c r="E347" s="8" t="s">
        <v>2451</v>
      </c>
      <c r="F347" s="8" t="s">
        <v>2451</v>
      </c>
      <c r="G347" s="8" t="s">
        <v>2451</v>
      </c>
    </row>
    <row r="348" spans="1:7" outlineLevel="2" x14ac:dyDescent="0.35">
      <c r="A348" s="8" t="s">
        <v>2451</v>
      </c>
      <c r="B348" s="8" t="s">
        <v>2451</v>
      </c>
      <c r="C348" s="8"/>
      <c r="D348" s="8" t="s">
        <v>1831</v>
      </c>
      <c r="E348" s="8" t="s">
        <v>2451</v>
      </c>
      <c r="F348" s="8" t="s">
        <v>2451</v>
      </c>
      <c r="G348" s="8" t="s">
        <v>2451</v>
      </c>
    </row>
    <row r="349" spans="1:7" outlineLevel="1" x14ac:dyDescent="0.35">
      <c r="A349" s="8" t="s">
        <v>124</v>
      </c>
      <c r="B349" s="8" t="s">
        <v>562</v>
      </c>
      <c r="C349" s="8">
        <v>5</v>
      </c>
      <c r="D349" s="8" t="s">
        <v>2451</v>
      </c>
      <c r="E349" s="8" t="s">
        <v>2451</v>
      </c>
      <c r="F349" s="8" t="s">
        <v>2451</v>
      </c>
      <c r="G349" s="8" t="s">
        <v>2451</v>
      </c>
    </row>
    <row r="350" spans="1:7" outlineLevel="2" x14ac:dyDescent="0.35">
      <c r="A350" s="8" t="s">
        <v>2451</v>
      </c>
      <c r="B350" s="8" t="s">
        <v>2451</v>
      </c>
      <c r="C350" s="8"/>
      <c r="D350" s="8" t="s">
        <v>1825</v>
      </c>
      <c r="E350" s="8" t="s">
        <v>2451</v>
      </c>
      <c r="F350" s="8" t="s">
        <v>2451</v>
      </c>
      <c r="G350" s="8" t="s">
        <v>2451</v>
      </c>
    </row>
    <row r="351" spans="1:7" outlineLevel="2" x14ac:dyDescent="0.35">
      <c r="A351" s="8" t="s">
        <v>2451</v>
      </c>
      <c r="B351" s="8" t="s">
        <v>2451</v>
      </c>
      <c r="C351" s="8"/>
      <c r="D351" s="8" t="s">
        <v>1826</v>
      </c>
      <c r="E351" s="8" t="s">
        <v>2451</v>
      </c>
      <c r="F351" s="8" t="s">
        <v>2451</v>
      </c>
      <c r="G351" s="8" t="s">
        <v>2451</v>
      </c>
    </row>
    <row r="352" spans="1:7" outlineLevel="2" x14ac:dyDescent="0.35">
      <c r="A352" s="8" t="s">
        <v>2451</v>
      </c>
      <c r="B352" s="8" t="s">
        <v>2451</v>
      </c>
      <c r="C352" s="8"/>
      <c r="D352" s="8" t="s">
        <v>1827</v>
      </c>
      <c r="E352" s="8" t="s">
        <v>2451</v>
      </c>
      <c r="F352" s="8" t="s">
        <v>2451</v>
      </c>
      <c r="G352" s="8" t="s">
        <v>2451</v>
      </c>
    </row>
    <row r="353" spans="1:7" outlineLevel="2" x14ac:dyDescent="0.35">
      <c r="A353" s="8" t="s">
        <v>2451</v>
      </c>
      <c r="B353" s="8" t="s">
        <v>2451</v>
      </c>
      <c r="C353" s="8"/>
      <c r="D353" s="8" t="s">
        <v>1828</v>
      </c>
      <c r="E353" s="8" t="s">
        <v>2451</v>
      </c>
      <c r="F353" s="8" t="s">
        <v>2451</v>
      </c>
      <c r="G353" s="8" t="s">
        <v>2451</v>
      </c>
    </row>
    <row r="354" spans="1:7" outlineLevel="2" x14ac:dyDescent="0.35">
      <c r="A354" s="8" t="s">
        <v>2451</v>
      </c>
      <c r="B354" s="8" t="s">
        <v>2451</v>
      </c>
      <c r="C354" s="8"/>
      <c r="D354" s="8" t="s">
        <v>1829</v>
      </c>
      <c r="E354" s="8" t="s">
        <v>2451</v>
      </c>
      <c r="F354" s="8" t="s">
        <v>2451</v>
      </c>
      <c r="G354" s="8" t="s">
        <v>2451</v>
      </c>
    </row>
    <row r="355" spans="1:7" outlineLevel="1" x14ac:dyDescent="0.35">
      <c r="A355" s="8" t="s">
        <v>124</v>
      </c>
      <c r="B355" s="8" t="s">
        <v>566</v>
      </c>
      <c r="C355" s="8">
        <v>1</v>
      </c>
      <c r="D355" s="8" t="s">
        <v>2451</v>
      </c>
      <c r="E355" s="8" t="s">
        <v>2451</v>
      </c>
      <c r="F355" s="8" t="s">
        <v>2451</v>
      </c>
      <c r="G355" s="8" t="s">
        <v>2451</v>
      </c>
    </row>
    <row r="356" spans="1:7" outlineLevel="1" x14ac:dyDescent="0.35">
      <c r="A356" s="8" t="s">
        <v>2451</v>
      </c>
      <c r="B356" s="8" t="s">
        <v>2451</v>
      </c>
      <c r="C356" s="8"/>
      <c r="D356" s="8" t="s">
        <v>1824</v>
      </c>
      <c r="E356" s="8" t="s">
        <v>2451</v>
      </c>
      <c r="F356" s="8" t="s">
        <v>2451</v>
      </c>
      <c r="G356" s="8" t="s">
        <v>2451</v>
      </c>
    </row>
    <row r="357" spans="1:7" outlineLevel="1" x14ac:dyDescent="0.35">
      <c r="A357" s="8" t="s">
        <v>124</v>
      </c>
      <c r="B357" s="8" t="s">
        <v>568</v>
      </c>
      <c r="C357" s="8">
        <v>6</v>
      </c>
      <c r="D357" s="8" t="s">
        <v>2451</v>
      </c>
      <c r="E357" s="8" t="s">
        <v>2451</v>
      </c>
      <c r="F357" s="8" t="s">
        <v>2451</v>
      </c>
      <c r="G357" s="8" t="s">
        <v>2451</v>
      </c>
    </row>
    <row r="358" spans="1:7" outlineLevel="2" x14ac:dyDescent="0.35">
      <c r="A358" s="8" t="s">
        <v>2451</v>
      </c>
      <c r="B358" s="8" t="s">
        <v>2451</v>
      </c>
      <c r="C358" s="8"/>
      <c r="D358" s="8" t="s">
        <v>1818</v>
      </c>
      <c r="E358" s="8" t="s">
        <v>2451</v>
      </c>
      <c r="F358" s="8" t="s">
        <v>2451</v>
      </c>
      <c r="G358" s="8" t="s">
        <v>2451</v>
      </c>
    </row>
    <row r="359" spans="1:7" outlineLevel="2" x14ac:dyDescent="0.35">
      <c r="A359" s="8" t="s">
        <v>2451</v>
      </c>
      <c r="B359" s="8" t="s">
        <v>2451</v>
      </c>
      <c r="C359" s="8"/>
      <c r="D359" s="8" t="s">
        <v>1819</v>
      </c>
      <c r="E359" s="8" t="s">
        <v>2451</v>
      </c>
      <c r="F359" s="8" t="s">
        <v>2451</v>
      </c>
      <c r="G359" s="8" t="s">
        <v>2451</v>
      </c>
    </row>
    <row r="360" spans="1:7" outlineLevel="2" x14ac:dyDescent="0.35">
      <c r="A360" s="8" t="s">
        <v>2451</v>
      </c>
      <c r="B360" s="8" t="s">
        <v>2451</v>
      </c>
      <c r="C360" s="8"/>
      <c r="D360" s="8" t="s">
        <v>1820</v>
      </c>
      <c r="E360" s="8" t="s">
        <v>2451</v>
      </c>
      <c r="F360" s="8" t="s">
        <v>2451</v>
      </c>
      <c r="G360" s="8" t="s">
        <v>2451</v>
      </c>
    </row>
    <row r="361" spans="1:7" outlineLevel="2" x14ac:dyDescent="0.35">
      <c r="A361" s="8" t="s">
        <v>2451</v>
      </c>
      <c r="B361" s="8" t="s">
        <v>2451</v>
      </c>
      <c r="C361" s="8"/>
      <c r="D361" s="8" t="s">
        <v>1821</v>
      </c>
      <c r="E361" s="8" t="s">
        <v>2451</v>
      </c>
      <c r="F361" s="8" t="s">
        <v>2451</v>
      </c>
      <c r="G361" s="8" t="s">
        <v>2451</v>
      </c>
    </row>
    <row r="362" spans="1:7" outlineLevel="2" x14ac:dyDescent="0.35">
      <c r="A362" s="8" t="s">
        <v>2451</v>
      </c>
      <c r="B362" s="8" t="s">
        <v>2451</v>
      </c>
      <c r="C362" s="8"/>
      <c r="D362" s="8" t="s">
        <v>1822</v>
      </c>
      <c r="E362" s="8" t="s">
        <v>2451</v>
      </c>
      <c r="F362" s="8" t="s">
        <v>2451</v>
      </c>
      <c r="G362" s="8" t="s">
        <v>2451</v>
      </c>
    </row>
    <row r="363" spans="1:7" outlineLevel="2" x14ac:dyDescent="0.35">
      <c r="A363" s="8" t="s">
        <v>2451</v>
      </c>
      <c r="B363" s="8" t="s">
        <v>2451</v>
      </c>
      <c r="C363" s="8"/>
      <c r="D363" s="8" t="s">
        <v>1823</v>
      </c>
      <c r="E363" s="8" t="s">
        <v>2451</v>
      </c>
      <c r="F363" s="8" t="s">
        <v>2451</v>
      </c>
      <c r="G363" s="8" t="s">
        <v>2451</v>
      </c>
    </row>
    <row r="364" spans="1:7" outlineLevel="1" x14ac:dyDescent="0.35">
      <c r="A364" s="8" t="s">
        <v>72</v>
      </c>
      <c r="B364" s="8" t="s">
        <v>571</v>
      </c>
      <c r="C364" s="8">
        <v>4</v>
      </c>
      <c r="D364" s="8" t="s">
        <v>2451</v>
      </c>
      <c r="E364" s="8" t="s">
        <v>2451</v>
      </c>
      <c r="F364" s="8" t="s">
        <v>2451</v>
      </c>
      <c r="G364" s="8" t="s">
        <v>2451</v>
      </c>
    </row>
    <row r="365" spans="1:7" outlineLevel="2" x14ac:dyDescent="0.35">
      <c r="A365" s="8" t="s">
        <v>2451</v>
      </c>
      <c r="B365" s="8" t="s">
        <v>2451</v>
      </c>
      <c r="C365" s="8"/>
      <c r="D365" s="8" t="s">
        <v>1814</v>
      </c>
      <c r="E365" s="8" t="s">
        <v>2451</v>
      </c>
      <c r="F365" s="8" t="s">
        <v>2451</v>
      </c>
      <c r="G365" s="8" t="s">
        <v>2451</v>
      </c>
    </row>
    <row r="366" spans="1:7" outlineLevel="2" x14ac:dyDescent="0.35">
      <c r="A366" s="8" t="s">
        <v>2451</v>
      </c>
      <c r="B366" s="8" t="s">
        <v>2451</v>
      </c>
      <c r="C366" s="8"/>
      <c r="D366" s="8" t="s">
        <v>1815</v>
      </c>
      <c r="E366" s="8" t="s">
        <v>2451</v>
      </c>
      <c r="F366" s="8" t="s">
        <v>2451</v>
      </c>
      <c r="G366" s="8" t="s">
        <v>2451</v>
      </c>
    </row>
    <row r="367" spans="1:7" outlineLevel="2" x14ac:dyDescent="0.35">
      <c r="A367" s="8" t="s">
        <v>2451</v>
      </c>
      <c r="B367" s="8" t="s">
        <v>2451</v>
      </c>
      <c r="C367" s="8"/>
      <c r="D367" s="8" t="s">
        <v>1816</v>
      </c>
      <c r="E367" s="8" t="s">
        <v>2451</v>
      </c>
      <c r="F367" s="8" t="s">
        <v>2451</v>
      </c>
      <c r="G367" s="8" t="s">
        <v>2451</v>
      </c>
    </row>
    <row r="368" spans="1:7" outlineLevel="2" x14ac:dyDescent="0.35">
      <c r="A368" s="8" t="s">
        <v>2451</v>
      </c>
      <c r="B368" s="8" t="s">
        <v>2451</v>
      </c>
      <c r="C368" s="8"/>
      <c r="D368" s="8" t="s">
        <v>1817</v>
      </c>
      <c r="E368" s="8" t="s">
        <v>2451</v>
      </c>
      <c r="F368" s="8" t="s">
        <v>2451</v>
      </c>
      <c r="G368" s="8" t="s">
        <v>2451</v>
      </c>
    </row>
    <row r="369" spans="1:7" outlineLevel="1" x14ac:dyDescent="0.35">
      <c r="A369" s="8" t="s">
        <v>268</v>
      </c>
      <c r="B369" s="8" t="s">
        <v>574</v>
      </c>
      <c r="C369" s="8">
        <v>1</v>
      </c>
      <c r="D369" s="8" t="s">
        <v>2451</v>
      </c>
      <c r="E369" s="8" t="s">
        <v>2451</v>
      </c>
      <c r="F369" s="8" t="s">
        <v>2451</v>
      </c>
      <c r="G369" s="8" t="s">
        <v>2451</v>
      </c>
    </row>
    <row r="370" spans="1:7" outlineLevel="1" x14ac:dyDescent="0.35">
      <c r="A370" s="8" t="s">
        <v>2451</v>
      </c>
      <c r="B370" s="8" t="s">
        <v>2451</v>
      </c>
      <c r="C370" s="8"/>
      <c r="D370" s="8" t="s">
        <v>1813</v>
      </c>
      <c r="E370" s="8" t="s">
        <v>2451</v>
      </c>
      <c r="F370" s="8" t="s">
        <v>2451</v>
      </c>
      <c r="G370" s="8" t="s">
        <v>2451</v>
      </c>
    </row>
    <row r="371" spans="1:7" outlineLevel="1" x14ac:dyDescent="0.35">
      <c r="A371" s="8" t="s">
        <v>268</v>
      </c>
      <c r="B371" s="8" t="s">
        <v>578</v>
      </c>
      <c r="C371" s="8">
        <v>3</v>
      </c>
      <c r="D371" s="8" t="s">
        <v>2451</v>
      </c>
      <c r="E371" s="8" t="s">
        <v>2451</v>
      </c>
      <c r="F371" s="8" t="s">
        <v>2451</v>
      </c>
      <c r="G371" s="8" t="s">
        <v>2451</v>
      </c>
    </row>
    <row r="372" spans="1:7" outlineLevel="2" x14ac:dyDescent="0.35">
      <c r="A372" s="8" t="s">
        <v>2451</v>
      </c>
      <c r="B372" s="8" t="s">
        <v>2451</v>
      </c>
      <c r="C372" s="8"/>
      <c r="D372" s="8" t="s">
        <v>1810</v>
      </c>
      <c r="E372" s="8" t="s">
        <v>2451</v>
      </c>
      <c r="F372" s="8" t="s">
        <v>2451</v>
      </c>
      <c r="G372" s="8" t="s">
        <v>2451</v>
      </c>
    </row>
    <row r="373" spans="1:7" outlineLevel="2" x14ac:dyDescent="0.35">
      <c r="A373" s="8" t="s">
        <v>2451</v>
      </c>
      <c r="B373" s="8" t="s">
        <v>2451</v>
      </c>
      <c r="C373" s="8"/>
      <c r="D373" s="8" t="s">
        <v>1811</v>
      </c>
      <c r="E373" s="8" t="s">
        <v>2451</v>
      </c>
      <c r="F373" s="8" t="s">
        <v>2451</v>
      </c>
      <c r="G373" s="8" t="s">
        <v>2451</v>
      </c>
    </row>
    <row r="374" spans="1:7" outlineLevel="2" x14ac:dyDescent="0.35">
      <c r="A374" s="8" t="s">
        <v>2451</v>
      </c>
      <c r="B374" s="8" t="s">
        <v>2451</v>
      </c>
      <c r="C374" s="8"/>
      <c r="D374" s="8" t="s">
        <v>1812</v>
      </c>
      <c r="E374" s="8" t="s">
        <v>2451</v>
      </c>
      <c r="F374" s="8" t="s">
        <v>2451</v>
      </c>
      <c r="G374" s="8" t="s">
        <v>2451</v>
      </c>
    </row>
    <row r="375" spans="1:7" outlineLevel="1" x14ac:dyDescent="0.35">
      <c r="A375" s="8" t="s">
        <v>268</v>
      </c>
      <c r="B375" s="8" t="s">
        <v>582</v>
      </c>
      <c r="C375" s="8">
        <v>3</v>
      </c>
      <c r="D375" s="8" t="s">
        <v>2451</v>
      </c>
      <c r="E375" s="8" t="s">
        <v>2451</v>
      </c>
      <c r="F375" s="8" t="s">
        <v>2451</v>
      </c>
      <c r="G375" s="8" t="s">
        <v>2451</v>
      </c>
    </row>
    <row r="376" spans="1:7" outlineLevel="2" x14ac:dyDescent="0.35">
      <c r="A376" s="8" t="s">
        <v>2451</v>
      </c>
      <c r="B376" s="8" t="s">
        <v>2451</v>
      </c>
      <c r="C376" s="8"/>
      <c r="D376" s="8" t="s">
        <v>1807</v>
      </c>
      <c r="E376" s="8" t="s">
        <v>2451</v>
      </c>
      <c r="F376" s="8" t="s">
        <v>2451</v>
      </c>
      <c r="G376" s="8" t="s">
        <v>2451</v>
      </c>
    </row>
    <row r="377" spans="1:7" outlineLevel="2" x14ac:dyDescent="0.35">
      <c r="A377" s="8" t="s">
        <v>2451</v>
      </c>
      <c r="B377" s="8" t="s">
        <v>2451</v>
      </c>
      <c r="C377" s="8"/>
      <c r="D377" s="8" t="s">
        <v>1808</v>
      </c>
      <c r="E377" s="8" t="s">
        <v>2451</v>
      </c>
      <c r="F377" s="8" t="s">
        <v>2451</v>
      </c>
      <c r="G377" s="8" t="s">
        <v>2451</v>
      </c>
    </row>
    <row r="378" spans="1:7" outlineLevel="2" x14ac:dyDescent="0.35">
      <c r="A378" s="8" t="s">
        <v>2451</v>
      </c>
      <c r="B378" s="8" t="s">
        <v>2451</v>
      </c>
      <c r="C378" s="8"/>
      <c r="D378" s="8" t="s">
        <v>1809</v>
      </c>
      <c r="E378" s="8" t="s">
        <v>2451</v>
      </c>
      <c r="F378" s="8" t="s">
        <v>2451</v>
      </c>
      <c r="G378" s="8" t="s">
        <v>2451</v>
      </c>
    </row>
    <row r="379" spans="1:7" outlineLevel="1" x14ac:dyDescent="0.35">
      <c r="A379" s="8" t="s">
        <v>83</v>
      </c>
      <c r="B379" s="8" t="s">
        <v>586</v>
      </c>
      <c r="C379" s="8">
        <v>7</v>
      </c>
      <c r="D379" s="8" t="s">
        <v>2451</v>
      </c>
      <c r="E379" s="8" t="s">
        <v>2451</v>
      </c>
      <c r="F379" s="8" t="s">
        <v>2451</v>
      </c>
      <c r="G379" s="8" t="s">
        <v>2451</v>
      </c>
    </row>
    <row r="380" spans="1:7" outlineLevel="2" x14ac:dyDescent="0.35">
      <c r="A380" s="8" t="s">
        <v>2451</v>
      </c>
      <c r="B380" s="8" t="s">
        <v>2451</v>
      </c>
      <c r="C380" s="8"/>
      <c r="D380" s="8" t="s">
        <v>1800</v>
      </c>
      <c r="E380" s="8" t="s">
        <v>2451</v>
      </c>
      <c r="F380" s="8" t="s">
        <v>2451</v>
      </c>
      <c r="G380" s="8" t="s">
        <v>2451</v>
      </c>
    </row>
    <row r="381" spans="1:7" outlineLevel="2" x14ac:dyDescent="0.35">
      <c r="A381" s="8" t="s">
        <v>2451</v>
      </c>
      <c r="B381" s="8" t="s">
        <v>2451</v>
      </c>
      <c r="C381" s="8"/>
      <c r="D381" s="8" t="s">
        <v>1801</v>
      </c>
      <c r="E381" s="8" t="s">
        <v>2451</v>
      </c>
      <c r="F381" s="8" t="s">
        <v>2451</v>
      </c>
      <c r="G381" s="8" t="s">
        <v>2451</v>
      </c>
    </row>
    <row r="382" spans="1:7" outlineLevel="2" x14ac:dyDescent="0.35">
      <c r="A382" s="8" t="s">
        <v>2451</v>
      </c>
      <c r="B382" s="8" t="s">
        <v>2451</v>
      </c>
      <c r="C382" s="8"/>
      <c r="D382" s="8" t="s">
        <v>1802</v>
      </c>
      <c r="E382" s="8" t="s">
        <v>2451</v>
      </c>
      <c r="F382" s="8" t="s">
        <v>2451</v>
      </c>
      <c r="G382" s="8" t="s">
        <v>2451</v>
      </c>
    </row>
    <row r="383" spans="1:7" outlineLevel="2" x14ac:dyDescent="0.35">
      <c r="A383" s="8" t="s">
        <v>2451</v>
      </c>
      <c r="B383" s="8" t="s">
        <v>2451</v>
      </c>
      <c r="C383" s="8"/>
      <c r="D383" s="8" t="s">
        <v>1803</v>
      </c>
      <c r="E383" s="8" t="s">
        <v>2451</v>
      </c>
      <c r="F383" s="8" t="s">
        <v>2451</v>
      </c>
      <c r="G383" s="8" t="s">
        <v>2451</v>
      </c>
    </row>
    <row r="384" spans="1:7" outlineLevel="2" x14ac:dyDescent="0.35">
      <c r="A384" s="8" t="s">
        <v>2451</v>
      </c>
      <c r="B384" s="8" t="s">
        <v>2451</v>
      </c>
      <c r="C384" s="8"/>
      <c r="D384" s="8" t="s">
        <v>1804</v>
      </c>
      <c r="E384" s="8" t="s">
        <v>2451</v>
      </c>
      <c r="F384" s="8" t="s">
        <v>2451</v>
      </c>
      <c r="G384" s="8" t="s">
        <v>2451</v>
      </c>
    </row>
    <row r="385" spans="1:7" outlineLevel="2" x14ac:dyDescent="0.35">
      <c r="A385" s="8" t="s">
        <v>2451</v>
      </c>
      <c r="B385" s="8" t="s">
        <v>2451</v>
      </c>
      <c r="C385" s="8"/>
      <c r="D385" s="8" t="s">
        <v>1805</v>
      </c>
      <c r="E385" s="8" t="s">
        <v>2451</v>
      </c>
      <c r="F385" s="8" t="s">
        <v>2451</v>
      </c>
      <c r="G385" s="8" t="s">
        <v>2451</v>
      </c>
    </row>
    <row r="386" spans="1:7" outlineLevel="2" x14ac:dyDescent="0.35">
      <c r="A386" s="8" t="s">
        <v>2451</v>
      </c>
      <c r="B386" s="8" t="s">
        <v>2451</v>
      </c>
      <c r="C386" s="8"/>
      <c r="D386" s="8" t="s">
        <v>1806</v>
      </c>
      <c r="E386" s="8" t="s">
        <v>2451</v>
      </c>
      <c r="F386" s="8" t="s">
        <v>2451</v>
      </c>
      <c r="G386" s="8" t="s">
        <v>2451</v>
      </c>
    </row>
    <row r="387" spans="1:7" outlineLevel="1" x14ac:dyDescent="0.35">
      <c r="A387" s="8" t="s">
        <v>83</v>
      </c>
      <c r="B387" s="8" t="s">
        <v>590</v>
      </c>
      <c r="C387" s="8">
        <v>10</v>
      </c>
      <c r="D387" s="8" t="s">
        <v>2451</v>
      </c>
      <c r="E387" s="8" t="s">
        <v>2451</v>
      </c>
      <c r="F387" s="8" t="s">
        <v>2451</v>
      </c>
      <c r="G387" s="8" t="s">
        <v>2451</v>
      </c>
    </row>
    <row r="388" spans="1:7" outlineLevel="2" x14ac:dyDescent="0.35">
      <c r="A388" s="8" t="s">
        <v>2451</v>
      </c>
      <c r="B388" s="8" t="s">
        <v>2451</v>
      </c>
      <c r="C388" s="8"/>
      <c r="D388" s="8" t="s">
        <v>1790</v>
      </c>
      <c r="E388" s="8" t="s">
        <v>2451</v>
      </c>
      <c r="F388" s="8" t="s">
        <v>2451</v>
      </c>
      <c r="G388" s="8" t="s">
        <v>2451</v>
      </c>
    </row>
    <row r="389" spans="1:7" outlineLevel="2" x14ac:dyDescent="0.35">
      <c r="A389" s="8" t="s">
        <v>2451</v>
      </c>
      <c r="B389" s="8" t="s">
        <v>2451</v>
      </c>
      <c r="C389" s="8"/>
      <c r="D389" s="8" t="s">
        <v>1791</v>
      </c>
      <c r="E389" s="8" t="s">
        <v>2451</v>
      </c>
      <c r="F389" s="8" t="s">
        <v>2451</v>
      </c>
      <c r="G389" s="8" t="s">
        <v>2451</v>
      </c>
    </row>
    <row r="390" spans="1:7" outlineLevel="2" x14ac:dyDescent="0.35">
      <c r="A390" s="8" t="s">
        <v>2451</v>
      </c>
      <c r="B390" s="8" t="s">
        <v>2451</v>
      </c>
      <c r="C390" s="8"/>
      <c r="D390" s="8" t="s">
        <v>1792</v>
      </c>
      <c r="E390" s="8" t="s">
        <v>2451</v>
      </c>
      <c r="F390" s="8" t="s">
        <v>2451</v>
      </c>
      <c r="G390" s="8" t="s">
        <v>2451</v>
      </c>
    </row>
    <row r="391" spans="1:7" outlineLevel="2" x14ac:dyDescent="0.35">
      <c r="A391" s="8" t="s">
        <v>2451</v>
      </c>
      <c r="B391" s="8" t="s">
        <v>2451</v>
      </c>
      <c r="C391" s="8"/>
      <c r="D391" s="8" t="s">
        <v>1793</v>
      </c>
      <c r="E391" s="8" t="s">
        <v>2451</v>
      </c>
      <c r="F391" s="8" t="s">
        <v>2451</v>
      </c>
      <c r="G391" s="8" t="s">
        <v>2451</v>
      </c>
    </row>
    <row r="392" spans="1:7" outlineLevel="2" x14ac:dyDescent="0.35">
      <c r="A392" s="8" t="s">
        <v>2451</v>
      </c>
      <c r="B392" s="8" t="s">
        <v>2451</v>
      </c>
      <c r="C392" s="8"/>
      <c r="D392" s="8" t="s">
        <v>1794</v>
      </c>
      <c r="E392" s="8" t="s">
        <v>2451</v>
      </c>
      <c r="F392" s="8" t="s">
        <v>2451</v>
      </c>
      <c r="G392" s="8" t="s">
        <v>2451</v>
      </c>
    </row>
    <row r="393" spans="1:7" outlineLevel="2" x14ac:dyDescent="0.35">
      <c r="A393" s="8" t="s">
        <v>2451</v>
      </c>
      <c r="B393" s="8" t="s">
        <v>2451</v>
      </c>
      <c r="C393" s="8"/>
      <c r="D393" s="8" t="s">
        <v>1795</v>
      </c>
      <c r="E393" s="8" t="s">
        <v>2451</v>
      </c>
      <c r="F393" s="8" t="s">
        <v>2451</v>
      </c>
      <c r="G393" s="8" t="s">
        <v>2451</v>
      </c>
    </row>
    <row r="394" spans="1:7" outlineLevel="2" x14ac:dyDescent="0.35">
      <c r="A394" s="8" t="s">
        <v>2451</v>
      </c>
      <c r="B394" s="8" t="s">
        <v>2451</v>
      </c>
      <c r="C394" s="8"/>
      <c r="D394" s="8" t="s">
        <v>1796</v>
      </c>
      <c r="E394" s="8" t="s">
        <v>2451</v>
      </c>
      <c r="F394" s="8" t="s">
        <v>2451</v>
      </c>
      <c r="G394" s="8" t="s">
        <v>2451</v>
      </c>
    </row>
    <row r="395" spans="1:7" outlineLevel="2" x14ac:dyDescent="0.35">
      <c r="A395" s="8" t="s">
        <v>2451</v>
      </c>
      <c r="B395" s="8" t="s">
        <v>2451</v>
      </c>
      <c r="C395" s="8"/>
      <c r="D395" s="8" t="s">
        <v>1797</v>
      </c>
      <c r="E395" s="8" t="s">
        <v>2451</v>
      </c>
      <c r="F395" s="8" t="s">
        <v>2451</v>
      </c>
      <c r="G395" s="8" t="s">
        <v>2451</v>
      </c>
    </row>
    <row r="396" spans="1:7" outlineLevel="2" x14ac:dyDescent="0.35">
      <c r="A396" s="8" t="s">
        <v>2451</v>
      </c>
      <c r="B396" s="8" t="s">
        <v>2451</v>
      </c>
      <c r="C396" s="8"/>
      <c r="D396" s="8" t="s">
        <v>1798</v>
      </c>
      <c r="E396" s="8" t="s">
        <v>2451</v>
      </c>
      <c r="F396" s="8" t="s">
        <v>2451</v>
      </c>
      <c r="G396" s="8" t="s">
        <v>2451</v>
      </c>
    </row>
    <row r="397" spans="1:7" outlineLevel="2" x14ac:dyDescent="0.35">
      <c r="A397" s="8" t="s">
        <v>2451</v>
      </c>
      <c r="B397" s="8" t="s">
        <v>2451</v>
      </c>
      <c r="C397" s="8"/>
      <c r="D397" s="8" t="s">
        <v>1799</v>
      </c>
      <c r="E397" s="8" t="s">
        <v>2451</v>
      </c>
      <c r="F397" s="8" t="s">
        <v>2451</v>
      </c>
      <c r="G397" s="8" t="s">
        <v>2451</v>
      </c>
    </row>
    <row r="398" spans="1:7" outlineLevel="1" x14ac:dyDescent="0.35">
      <c r="A398" s="8" t="s">
        <v>83</v>
      </c>
      <c r="B398" s="8" t="s">
        <v>592</v>
      </c>
      <c r="C398" s="8">
        <v>4</v>
      </c>
      <c r="D398" s="8" t="s">
        <v>2451</v>
      </c>
      <c r="E398" s="8" t="s">
        <v>2451</v>
      </c>
      <c r="F398" s="8" t="s">
        <v>2451</v>
      </c>
      <c r="G398" s="8" t="s">
        <v>2451</v>
      </c>
    </row>
    <row r="399" spans="1:7" outlineLevel="2" x14ac:dyDescent="0.35">
      <c r="A399" s="8" t="s">
        <v>2451</v>
      </c>
      <c r="B399" s="8" t="s">
        <v>2451</v>
      </c>
      <c r="C399" s="8"/>
      <c r="D399" s="8" t="s">
        <v>1786</v>
      </c>
      <c r="E399" s="8" t="s">
        <v>2451</v>
      </c>
      <c r="F399" s="8" t="s">
        <v>2451</v>
      </c>
      <c r="G399" s="8" t="s">
        <v>2451</v>
      </c>
    </row>
    <row r="400" spans="1:7" outlineLevel="2" x14ac:dyDescent="0.35">
      <c r="A400" s="8" t="s">
        <v>2451</v>
      </c>
      <c r="B400" s="8" t="s">
        <v>2451</v>
      </c>
      <c r="C400" s="8"/>
      <c r="D400" s="8" t="s">
        <v>1787</v>
      </c>
      <c r="E400" s="8" t="s">
        <v>2451</v>
      </c>
      <c r="F400" s="8" t="s">
        <v>2451</v>
      </c>
      <c r="G400" s="8" t="s">
        <v>2451</v>
      </c>
    </row>
    <row r="401" spans="1:7" outlineLevel="2" x14ac:dyDescent="0.35">
      <c r="A401" s="8" t="s">
        <v>2451</v>
      </c>
      <c r="B401" s="8" t="s">
        <v>2451</v>
      </c>
      <c r="C401" s="8"/>
      <c r="D401" s="8" t="s">
        <v>1788</v>
      </c>
      <c r="E401" s="8" t="s">
        <v>2451</v>
      </c>
      <c r="F401" s="8" t="s">
        <v>2451</v>
      </c>
      <c r="G401" s="8" t="s">
        <v>2451</v>
      </c>
    </row>
    <row r="402" spans="1:7" outlineLevel="2" x14ac:dyDescent="0.35">
      <c r="A402" s="8" t="s">
        <v>2451</v>
      </c>
      <c r="B402" s="8" t="s">
        <v>2451</v>
      </c>
      <c r="C402" s="8"/>
      <c r="D402" s="8" t="s">
        <v>1789</v>
      </c>
      <c r="E402" s="8" t="s">
        <v>2451</v>
      </c>
      <c r="F402" s="8" t="s">
        <v>2451</v>
      </c>
      <c r="G402" s="8" t="s">
        <v>2451</v>
      </c>
    </row>
    <row r="403" spans="1:7" outlineLevel="1" x14ac:dyDescent="0.35">
      <c r="A403" s="8" t="s">
        <v>83</v>
      </c>
      <c r="B403" s="8" t="s">
        <v>595</v>
      </c>
      <c r="C403" s="8">
        <v>7</v>
      </c>
      <c r="D403" s="8" t="s">
        <v>2451</v>
      </c>
      <c r="E403" s="8" t="s">
        <v>2451</v>
      </c>
      <c r="F403" s="8" t="s">
        <v>2451</v>
      </c>
      <c r="G403" s="8" t="s">
        <v>2451</v>
      </c>
    </row>
    <row r="404" spans="1:7" outlineLevel="2" x14ac:dyDescent="0.35">
      <c r="A404" s="8" t="s">
        <v>2451</v>
      </c>
      <c r="B404" s="8" t="s">
        <v>2451</v>
      </c>
      <c r="C404" s="8"/>
      <c r="D404" s="8" t="s">
        <v>1779</v>
      </c>
      <c r="E404" s="8" t="s">
        <v>2451</v>
      </c>
      <c r="F404" s="8" t="s">
        <v>2451</v>
      </c>
      <c r="G404" s="8" t="s">
        <v>2451</v>
      </c>
    </row>
    <row r="405" spans="1:7" outlineLevel="2" x14ac:dyDescent="0.35">
      <c r="A405" s="8" t="s">
        <v>2451</v>
      </c>
      <c r="B405" s="8" t="s">
        <v>2451</v>
      </c>
      <c r="C405" s="8"/>
      <c r="D405" s="8" t="s">
        <v>1780</v>
      </c>
      <c r="E405" s="8" t="s">
        <v>2451</v>
      </c>
      <c r="F405" s="8" t="s">
        <v>2451</v>
      </c>
      <c r="G405" s="8" t="s">
        <v>2451</v>
      </c>
    </row>
    <row r="406" spans="1:7" outlineLevel="2" x14ac:dyDescent="0.35">
      <c r="A406" s="8" t="s">
        <v>2451</v>
      </c>
      <c r="B406" s="8" t="s">
        <v>2451</v>
      </c>
      <c r="C406" s="8"/>
      <c r="D406" s="8" t="s">
        <v>1781</v>
      </c>
      <c r="E406" s="8" t="s">
        <v>2451</v>
      </c>
      <c r="F406" s="8" t="s">
        <v>2451</v>
      </c>
      <c r="G406" s="8" t="s">
        <v>2451</v>
      </c>
    </row>
    <row r="407" spans="1:7" outlineLevel="2" x14ac:dyDescent="0.35">
      <c r="A407" s="8" t="s">
        <v>2451</v>
      </c>
      <c r="B407" s="8" t="s">
        <v>2451</v>
      </c>
      <c r="C407" s="8"/>
      <c r="D407" s="8" t="s">
        <v>1782</v>
      </c>
      <c r="E407" s="8" t="s">
        <v>2451</v>
      </c>
      <c r="F407" s="8" t="s">
        <v>2451</v>
      </c>
      <c r="G407" s="8" t="s">
        <v>2451</v>
      </c>
    </row>
    <row r="408" spans="1:7" outlineLevel="2" x14ac:dyDescent="0.35">
      <c r="A408" s="8" t="s">
        <v>2451</v>
      </c>
      <c r="B408" s="8" t="s">
        <v>2451</v>
      </c>
      <c r="C408" s="8"/>
      <c r="D408" s="8" t="s">
        <v>1783</v>
      </c>
      <c r="E408" s="8" t="s">
        <v>2451</v>
      </c>
      <c r="F408" s="8" t="s">
        <v>2451</v>
      </c>
      <c r="G408" s="8" t="s">
        <v>2451</v>
      </c>
    </row>
    <row r="409" spans="1:7" outlineLevel="2" x14ac:dyDescent="0.35">
      <c r="A409" s="8" t="s">
        <v>2451</v>
      </c>
      <c r="B409" s="8" t="s">
        <v>2451</v>
      </c>
      <c r="C409" s="8"/>
      <c r="D409" s="8" t="s">
        <v>1784</v>
      </c>
      <c r="E409" s="8" t="s">
        <v>2451</v>
      </c>
      <c r="F409" s="8" t="s">
        <v>2451</v>
      </c>
      <c r="G409" s="8" t="s">
        <v>2451</v>
      </c>
    </row>
    <row r="410" spans="1:7" outlineLevel="2" x14ac:dyDescent="0.35">
      <c r="A410" s="8" t="s">
        <v>2451</v>
      </c>
      <c r="B410" s="8" t="s">
        <v>2451</v>
      </c>
      <c r="C410" s="8"/>
      <c r="D410" s="8" t="s">
        <v>1785</v>
      </c>
      <c r="E410" s="8" t="s">
        <v>2451</v>
      </c>
      <c r="F410" s="8" t="s">
        <v>2451</v>
      </c>
      <c r="G410" s="8" t="s">
        <v>2451</v>
      </c>
    </row>
    <row r="411" spans="1:7" outlineLevel="1" x14ac:dyDescent="0.35">
      <c r="A411" s="8" t="s">
        <v>209</v>
      </c>
      <c r="B411" s="8" t="s">
        <v>597</v>
      </c>
      <c r="C411" s="8">
        <v>14</v>
      </c>
      <c r="D411" s="8" t="s">
        <v>2451</v>
      </c>
      <c r="E411" s="8" t="s">
        <v>2451</v>
      </c>
      <c r="F411" s="8" t="s">
        <v>2451</v>
      </c>
      <c r="G411" s="8" t="s">
        <v>2451</v>
      </c>
    </row>
    <row r="412" spans="1:7" outlineLevel="2" x14ac:dyDescent="0.35">
      <c r="A412" s="8" t="s">
        <v>2451</v>
      </c>
      <c r="B412" s="8" t="s">
        <v>2451</v>
      </c>
      <c r="C412" s="8"/>
      <c r="D412" s="8" t="s">
        <v>1765</v>
      </c>
      <c r="E412" s="8" t="s">
        <v>2451</v>
      </c>
      <c r="F412" s="8" t="s">
        <v>2451</v>
      </c>
      <c r="G412" s="8" t="s">
        <v>2451</v>
      </c>
    </row>
    <row r="413" spans="1:7" outlineLevel="2" x14ac:dyDescent="0.35">
      <c r="A413" s="8" t="s">
        <v>2451</v>
      </c>
      <c r="B413" s="8" t="s">
        <v>2451</v>
      </c>
      <c r="C413" s="8"/>
      <c r="D413" s="8" t="s">
        <v>1766</v>
      </c>
      <c r="E413" s="8" t="s">
        <v>2451</v>
      </c>
      <c r="F413" s="8" t="s">
        <v>2451</v>
      </c>
      <c r="G413" s="8" t="s">
        <v>2451</v>
      </c>
    </row>
    <row r="414" spans="1:7" outlineLevel="2" x14ac:dyDescent="0.35">
      <c r="A414" s="8" t="s">
        <v>2451</v>
      </c>
      <c r="B414" s="8" t="s">
        <v>2451</v>
      </c>
      <c r="C414" s="8"/>
      <c r="D414" s="8" t="s">
        <v>1767</v>
      </c>
      <c r="E414" s="8" t="s">
        <v>2451</v>
      </c>
      <c r="F414" s="8" t="s">
        <v>2451</v>
      </c>
      <c r="G414" s="8" t="s">
        <v>2451</v>
      </c>
    </row>
    <row r="415" spans="1:7" outlineLevel="2" x14ac:dyDescent="0.35">
      <c r="A415" s="8" t="s">
        <v>2451</v>
      </c>
      <c r="B415" s="8" t="s">
        <v>2451</v>
      </c>
      <c r="C415" s="8"/>
      <c r="D415" s="8" t="s">
        <v>1768</v>
      </c>
      <c r="E415" s="8" t="s">
        <v>2451</v>
      </c>
      <c r="F415" s="8" t="s">
        <v>2451</v>
      </c>
      <c r="G415" s="8" t="s">
        <v>2451</v>
      </c>
    </row>
    <row r="416" spans="1:7" outlineLevel="2" x14ac:dyDescent="0.35">
      <c r="A416" s="8" t="s">
        <v>2451</v>
      </c>
      <c r="B416" s="8" t="s">
        <v>2451</v>
      </c>
      <c r="C416" s="8"/>
      <c r="D416" s="8" t="s">
        <v>1769</v>
      </c>
      <c r="E416" s="8" t="s">
        <v>2451</v>
      </c>
      <c r="F416" s="8" t="s">
        <v>2451</v>
      </c>
      <c r="G416" s="8" t="s">
        <v>2451</v>
      </c>
    </row>
    <row r="417" spans="1:7" outlineLevel="2" x14ac:dyDescent="0.35">
      <c r="A417" s="8" t="s">
        <v>2451</v>
      </c>
      <c r="B417" s="8" t="s">
        <v>2451</v>
      </c>
      <c r="C417" s="8"/>
      <c r="D417" s="8" t="s">
        <v>1770</v>
      </c>
      <c r="E417" s="8" t="s">
        <v>2451</v>
      </c>
      <c r="F417" s="8" t="s">
        <v>2451</v>
      </c>
      <c r="G417" s="8" t="s">
        <v>2451</v>
      </c>
    </row>
    <row r="418" spans="1:7" outlineLevel="2" x14ac:dyDescent="0.35">
      <c r="A418" s="8" t="s">
        <v>2451</v>
      </c>
      <c r="B418" s="8" t="s">
        <v>2451</v>
      </c>
      <c r="C418" s="8"/>
      <c r="D418" s="8" t="s">
        <v>1771</v>
      </c>
      <c r="E418" s="8" t="s">
        <v>2451</v>
      </c>
      <c r="F418" s="8" t="s">
        <v>2451</v>
      </c>
      <c r="G418" s="8" t="s">
        <v>2451</v>
      </c>
    </row>
    <row r="419" spans="1:7" outlineLevel="2" x14ac:dyDescent="0.35">
      <c r="A419" s="8" t="s">
        <v>2451</v>
      </c>
      <c r="B419" s="8" t="s">
        <v>2451</v>
      </c>
      <c r="C419" s="8"/>
      <c r="D419" s="8" t="s">
        <v>1772</v>
      </c>
      <c r="E419" s="8" t="s">
        <v>2451</v>
      </c>
      <c r="F419" s="8" t="s">
        <v>2451</v>
      </c>
      <c r="G419" s="8" t="s">
        <v>2451</v>
      </c>
    </row>
    <row r="420" spans="1:7" outlineLevel="2" x14ac:dyDescent="0.35">
      <c r="A420" s="8" t="s">
        <v>2451</v>
      </c>
      <c r="B420" s="8" t="s">
        <v>2451</v>
      </c>
      <c r="C420" s="8"/>
      <c r="D420" s="8" t="s">
        <v>1773</v>
      </c>
      <c r="E420" s="8" t="s">
        <v>2451</v>
      </c>
      <c r="F420" s="8" t="s">
        <v>2451</v>
      </c>
      <c r="G420" s="8" t="s">
        <v>2451</v>
      </c>
    </row>
    <row r="421" spans="1:7" outlineLevel="2" x14ac:dyDescent="0.35">
      <c r="A421" s="8" t="s">
        <v>2451</v>
      </c>
      <c r="B421" s="8" t="s">
        <v>2451</v>
      </c>
      <c r="C421" s="8"/>
      <c r="D421" s="8" t="s">
        <v>1774</v>
      </c>
      <c r="E421" s="8" t="s">
        <v>2451</v>
      </c>
      <c r="F421" s="8" t="s">
        <v>2451</v>
      </c>
      <c r="G421" s="8" t="s">
        <v>2451</v>
      </c>
    </row>
    <row r="422" spans="1:7" outlineLevel="2" x14ac:dyDescent="0.35">
      <c r="A422" s="8" t="s">
        <v>2451</v>
      </c>
      <c r="B422" s="8" t="s">
        <v>2451</v>
      </c>
      <c r="C422" s="8"/>
      <c r="D422" s="8" t="s">
        <v>1775</v>
      </c>
      <c r="E422" s="8" t="s">
        <v>2451</v>
      </c>
      <c r="F422" s="8" t="s">
        <v>2451</v>
      </c>
      <c r="G422" s="8" t="s">
        <v>2451</v>
      </c>
    </row>
    <row r="423" spans="1:7" outlineLevel="2" x14ac:dyDescent="0.35">
      <c r="A423" s="8" t="s">
        <v>2451</v>
      </c>
      <c r="B423" s="8" t="s">
        <v>2451</v>
      </c>
      <c r="C423" s="8"/>
      <c r="D423" s="8" t="s">
        <v>1776</v>
      </c>
      <c r="E423" s="8" t="s">
        <v>2451</v>
      </c>
      <c r="F423" s="8" t="s">
        <v>2451</v>
      </c>
      <c r="G423" s="8" t="s">
        <v>2451</v>
      </c>
    </row>
    <row r="424" spans="1:7" outlineLevel="2" x14ac:dyDescent="0.35">
      <c r="A424" s="8" t="s">
        <v>2451</v>
      </c>
      <c r="B424" s="8" t="s">
        <v>2451</v>
      </c>
      <c r="C424" s="8"/>
      <c r="D424" s="8" t="s">
        <v>1777</v>
      </c>
      <c r="E424" s="8" t="s">
        <v>2451</v>
      </c>
      <c r="F424" s="8" t="s">
        <v>2451</v>
      </c>
      <c r="G424" s="8" t="s">
        <v>2451</v>
      </c>
    </row>
    <row r="425" spans="1:7" outlineLevel="2" x14ac:dyDescent="0.35">
      <c r="A425" s="8" t="s">
        <v>2451</v>
      </c>
      <c r="B425" s="8" t="s">
        <v>2451</v>
      </c>
      <c r="C425" s="8"/>
      <c r="D425" s="8" t="s">
        <v>1778</v>
      </c>
      <c r="E425" s="8" t="s">
        <v>2451</v>
      </c>
      <c r="F425" s="8" t="s">
        <v>2451</v>
      </c>
      <c r="G425" s="8" t="s">
        <v>2451</v>
      </c>
    </row>
    <row r="426" spans="1:7" outlineLevel="1" x14ac:dyDescent="0.35">
      <c r="A426" s="8" t="s">
        <v>216</v>
      </c>
      <c r="B426" s="8" t="s">
        <v>600</v>
      </c>
      <c r="C426" s="8">
        <v>2</v>
      </c>
      <c r="D426" s="8" t="s">
        <v>2451</v>
      </c>
      <c r="E426" s="8" t="s">
        <v>2451</v>
      </c>
      <c r="F426" s="8" t="s">
        <v>2451</v>
      </c>
      <c r="G426" s="8" t="s">
        <v>2451</v>
      </c>
    </row>
    <row r="427" spans="1:7" outlineLevel="2" x14ac:dyDescent="0.35">
      <c r="A427" s="8" t="s">
        <v>2451</v>
      </c>
      <c r="B427" s="8" t="s">
        <v>2451</v>
      </c>
      <c r="C427" s="8"/>
      <c r="D427" s="8" t="s">
        <v>1763</v>
      </c>
      <c r="E427" s="8" t="s">
        <v>2451</v>
      </c>
      <c r="F427" s="8" t="s">
        <v>2451</v>
      </c>
      <c r="G427" s="8" t="s">
        <v>2451</v>
      </c>
    </row>
    <row r="428" spans="1:7" outlineLevel="2" x14ac:dyDescent="0.35">
      <c r="A428" s="8" t="s">
        <v>2451</v>
      </c>
      <c r="B428" s="8" t="s">
        <v>2451</v>
      </c>
      <c r="C428" s="8"/>
      <c r="D428" s="8" t="s">
        <v>1764</v>
      </c>
      <c r="E428" s="8" t="s">
        <v>2451</v>
      </c>
      <c r="F428" s="8" t="s">
        <v>2451</v>
      </c>
      <c r="G428" s="8" t="s">
        <v>2451</v>
      </c>
    </row>
    <row r="429" spans="1:7" outlineLevel="1" x14ac:dyDescent="0.35">
      <c r="A429" s="8" t="s">
        <v>216</v>
      </c>
      <c r="B429" s="8" t="s">
        <v>603</v>
      </c>
      <c r="C429" s="8">
        <v>1</v>
      </c>
      <c r="D429" s="8" t="s">
        <v>2451</v>
      </c>
      <c r="E429" s="8" t="s">
        <v>2451</v>
      </c>
      <c r="F429" s="8" t="s">
        <v>2451</v>
      </c>
      <c r="G429" s="8" t="s">
        <v>2451</v>
      </c>
    </row>
    <row r="430" spans="1:7" outlineLevel="1" x14ac:dyDescent="0.35">
      <c r="A430" s="8" t="s">
        <v>2451</v>
      </c>
      <c r="B430" s="8" t="s">
        <v>2451</v>
      </c>
      <c r="C430" s="8"/>
      <c r="D430" s="8" t="s">
        <v>1762</v>
      </c>
      <c r="E430" s="8" t="s">
        <v>2451</v>
      </c>
      <c r="F430" s="8" t="s">
        <v>2451</v>
      </c>
      <c r="G430" s="8" t="s">
        <v>2451</v>
      </c>
    </row>
    <row r="431" spans="1:7" outlineLevel="1" x14ac:dyDescent="0.35">
      <c r="A431" s="8" t="s">
        <v>216</v>
      </c>
      <c r="B431" s="8" t="s">
        <v>605</v>
      </c>
      <c r="C431" s="8">
        <v>2</v>
      </c>
      <c r="D431" s="8" t="s">
        <v>2451</v>
      </c>
      <c r="E431" s="8" t="s">
        <v>2451</v>
      </c>
      <c r="F431" s="8" t="s">
        <v>2451</v>
      </c>
      <c r="G431" s="8" t="s">
        <v>2451</v>
      </c>
    </row>
    <row r="432" spans="1:7" outlineLevel="2" x14ac:dyDescent="0.35">
      <c r="A432" s="8" t="s">
        <v>2451</v>
      </c>
      <c r="B432" s="8" t="s">
        <v>2451</v>
      </c>
      <c r="C432" s="8"/>
      <c r="D432" s="8" t="s">
        <v>1760</v>
      </c>
      <c r="E432" s="8" t="s">
        <v>2451</v>
      </c>
      <c r="F432" s="8" t="s">
        <v>2451</v>
      </c>
      <c r="G432" s="8" t="s">
        <v>2451</v>
      </c>
    </row>
    <row r="433" spans="1:7" outlineLevel="2" x14ac:dyDescent="0.35">
      <c r="A433" s="8" t="s">
        <v>2451</v>
      </c>
      <c r="B433" s="8" t="s">
        <v>2451</v>
      </c>
      <c r="C433" s="8"/>
      <c r="D433" s="8" t="s">
        <v>1761</v>
      </c>
      <c r="E433" s="8" t="s">
        <v>2451</v>
      </c>
      <c r="F433" s="8" t="s">
        <v>2451</v>
      </c>
      <c r="G433" s="8" t="s">
        <v>2451</v>
      </c>
    </row>
    <row r="434" spans="1:7" outlineLevel="1" x14ac:dyDescent="0.35">
      <c r="A434" s="8" t="s">
        <v>216</v>
      </c>
      <c r="B434" s="8" t="s">
        <v>608</v>
      </c>
      <c r="C434" s="8">
        <v>3</v>
      </c>
      <c r="D434" s="8" t="s">
        <v>2451</v>
      </c>
      <c r="E434" s="8" t="s">
        <v>2451</v>
      </c>
      <c r="F434" s="8" t="s">
        <v>2451</v>
      </c>
      <c r="G434" s="8" t="s">
        <v>2451</v>
      </c>
    </row>
    <row r="435" spans="1:7" outlineLevel="2" x14ac:dyDescent="0.35">
      <c r="A435" s="8" t="s">
        <v>2451</v>
      </c>
      <c r="B435" s="8" t="s">
        <v>2451</v>
      </c>
      <c r="C435" s="8"/>
      <c r="D435" s="8" t="s">
        <v>1757</v>
      </c>
      <c r="E435" s="8" t="s">
        <v>2451</v>
      </c>
      <c r="F435" s="8" t="s">
        <v>2451</v>
      </c>
      <c r="G435" s="8" t="s">
        <v>2451</v>
      </c>
    </row>
    <row r="436" spans="1:7" outlineLevel="2" x14ac:dyDescent="0.35">
      <c r="A436" s="8" t="s">
        <v>2451</v>
      </c>
      <c r="B436" s="8" t="s">
        <v>2451</v>
      </c>
      <c r="C436" s="8"/>
      <c r="D436" s="8" t="s">
        <v>1758</v>
      </c>
      <c r="E436" s="8" t="s">
        <v>2451</v>
      </c>
      <c r="F436" s="8" t="s">
        <v>2451</v>
      </c>
      <c r="G436" s="8" t="s">
        <v>2451</v>
      </c>
    </row>
    <row r="437" spans="1:7" outlineLevel="2" x14ac:dyDescent="0.35">
      <c r="A437" s="8" t="s">
        <v>2451</v>
      </c>
      <c r="B437" s="8" t="s">
        <v>2451</v>
      </c>
      <c r="C437" s="8"/>
      <c r="D437" s="8" t="s">
        <v>1759</v>
      </c>
      <c r="E437" s="8" t="s">
        <v>2451</v>
      </c>
      <c r="F437" s="8" t="s">
        <v>2451</v>
      </c>
      <c r="G437" s="8" t="s">
        <v>2451</v>
      </c>
    </row>
    <row r="438" spans="1:7" outlineLevel="1" x14ac:dyDescent="0.35">
      <c r="A438" s="8" t="s">
        <v>303</v>
      </c>
      <c r="B438" s="8" t="s">
        <v>610</v>
      </c>
      <c r="C438" s="8">
        <v>5</v>
      </c>
      <c r="D438" s="8" t="s">
        <v>2451</v>
      </c>
      <c r="E438" s="8" t="s">
        <v>2451</v>
      </c>
      <c r="F438" s="8" t="s">
        <v>2451</v>
      </c>
      <c r="G438" s="8" t="s">
        <v>2451</v>
      </c>
    </row>
    <row r="439" spans="1:7" outlineLevel="2" x14ac:dyDescent="0.35">
      <c r="A439" s="8" t="s">
        <v>2451</v>
      </c>
      <c r="B439" s="8" t="s">
        <v>2451</v>
      </c>
      <c r="C439" s="8"/>
      <c r="D439" s="8" t="s">
        <v>1752</v>
      </c>
      <c r="E439" s="8" t="s">
        <v>2451</v>
      </c>
      <c r="F439" s="8" t="s">
        <v>2451</v>
      </c>
      <c r="G439" s="8" t="s">
        <v>2451</v>
      </c>
    </row>
    <row r="440" spans="1:7" outlineLevel="2" x14ac:dyDescent="0.35">
      <c r="A440" s="8" t="s">
        <v>2451</v>
      </c>
      <c r="B440" s="8" t="s">
        <v>2451</v>
      </c>
      <c r="C440" s="8"/>
      <c r="D440" s="8" t="s">
        <v>1753</v>
      </c>
      <c r="E440" s="8" t="s">
        <v>2451</v>
      </c>
      <c r="F440" s="8" t="s">
        <v>2451</v>
      </c>
      <c r="G440" s="8" t="s">
        <v>2451</v>
      </c>
    </row>
    <row r="441" spans="1:7" outlineLevel="2" x14ac:dyDescent="0.35">
      <c r="A441" s="8" t="s">
        <v>2451</v>
      </c>
      <c r="B441" s="8" t="s">
        <v>2451</v>
      </c>
      <c r="C441" s="8"/>
      <c r="D441" s="8" t="s">
        <v>1754</v>
      </c>
      <c r="E441" s="8" t="s">
        <v>2451</v>
      </c>
      <c r="F441" s="8" t="s">
        <v>2451</v>
      </c>
      <c r="G441" s="8" t="s">
        <v>2451</v>
      </c>
    </row>
    <row r="442" spans="1:7" outlineLevel="2" x14ac:dyDescent="0.35">
      <c r="A442" s="8" t="s">
        <v>2451</v>
      </c>
      <c r="B442" s="8" t="s">
        <v>2451</v>
      </c>
      <c r="C442" s="8"/>
      <c r="D442" s="8" t="s">
        <v>1755</v>
      </c>
      <c r="E442" s="8" t="s">
        <v>2451</v>
      </c>
      <c r="F442" s="8" t="s">
        <v>2451</v>
      </c>
      <c r="G442" s="8" t="s">
        <v>2451</v>
      </c>
    </row>
    <row r="443" spans="1:7" outlineLevel="2" x14ac:dyDescent="0.35">
      <c r="A443" s="8" t="s">
        <v>2451</v>
      </c>
      <c r="B443" s="8" t="s">
        <v>2451</v>
      </c>
      <c r="C443" s="8"/>
      <c r="D443" s="8" t="s">
        <v>1756</v>
      </c>
      <c r="E443" s="8" t="s">
        <v>2451</v>
      </c>
      <c r="F443" s="8" t="s">
        <v>2451</v>
      </c>
      <c r="G443" s="8" t="s">
        <v>2451</v>
      </c>
    </row>
    <row r="444" spans="1:7" outlineLevel="1" x14ac:dyDescent="0.35">
      <c r="A444" s="8" t="s">
        <v>303</v>
      </c>
      <c r="B444" s="8" t="s">
        <v>614</v>
      </c>
      <c r="C444" s="8">
        <v>7</v>
      </c>
      <c r="D444" s="8" t="s">
        <v>2451</v>
      </c>
      <c r="E444" s="8" t="s">
        <v>2451</v>
      </c>
      <c r="F444" s="8" t="s">
        <v>2451</v>
      </c>
      <c r="G444" s="8" t="s">
        <v>2451</v>
      </c>
    </row>
    <row r="445" spans="1:7" outlineLevel="2" x14ac:dyDescent="0.35">
      <c r="A445" s="8" t="s">
        <v>2451</v>
      </c>
      <c r="B445" s="8" t="s">
        <v>2451</v>
      </c>
      <c r="C445" s="8"/>
      <c r="D445" s="8" t="s">
        <v>1745</v>
      </c>
      <c r="E445" s="8" t="s">
        <v>2451</v>
      </c>
      <c r="F445" s="8" t="s">
        <v>2451</v>
      </c>
      <c r="G445" s="8" t="s">
        <v>2451</v>
      </c>
    </row>
    <row r="446" spans="1:7" outlineLevel="2" x14ac:dyDescent="0.35">
      <c r="A446" s="8" t="s">
        <v>2451</v>
      </c>
      <c r="B446" s="8" t="s">
        <v>2451</v>
      </c>
      <c r="C446" s="8"/>
      <c r="D446" s="8" t="s">
        <v>1746</v>
      </c>
      <c r="E446" s="8" t="s">
        <v>2451</v>
      </c>
      <c r="F446" s="8" t="s">
        <v>2451</v>
      </c>
      <c r="G446" s="8" t="s">
        <v>2451</v>
      </c>
    </row>
    <row r="447" spans="1:7" outlineLevel="2" x14ac:dyDescent="0.35">
      <c r="A447" s="8" t="s">
        <v>2451</v>
      </c>
      <c r="B447" s="8" t="s">
        <v>2451</v>
      </c>
      <c r="C447" s="8"/>
      <c r="D447" s="8" t="s">
        <v>1747</v>
      </c>
      <c r="E447" s="8" t="s">
        <v>2451</v>
      </c>
      <c r="F447" s="8" t="s">
        <v>2451</v>
      </c>
      <c r="G447" s="8" t="s">
        <v>2451</v>
      </c>
    </row>
    <row r="448" spans="1:7" outlineLevel="2" x14ac:dyDescent="0.35">
      <c r="A448" s="8" t="s">
        <v>2451</v>
      </c>
      <c r="B448" s="8" t="s">
        <v>2451</v>
      </c>
      <c r="C448" s="8"/>
      <c r="D448" s="8" t="s">
        <v>1748</v>
      </c>
      <c r="E448" s="8" t="s">
        <v>2451</v>
      </c>
      <c r="F448" s="8" t="s">
        <v>2451</v>
      </c>
      <c r="G448" s="8" t="s">
        <v>2451</v>
      </c>
    </row>
    <row r="449" spans="1:7" outlineLevel="2" x14ac:dyDescent="0.35">
      <c r="A449" s="8" t="s">
        <v>2451</v>
      </c>
      <c r="B449" s="8" t="s">
        <v>2451</v>
      </c>
      <c r="C449" s="8"/>
      <c r="D449" s="8" t="s">
        <v>1749</v>
      </c>
      <c r="E449" s="8" t="s">
        <v>2451</v>
      </c>
      <c r="F449" s="8" t="s">
        <v>2451</v>
      </c>
      <c r="G449" s="8" t="s">
        <v>2451</v>
      </c>
    </row>
    <row r="450" spans="1:7" outlineLevel="2" x14ac:dyDescent="0.35">
      <c r="A450" s="8" t="s">
        <v>2451</v>
      </c>
      <c r="B450" s="8" t="s">
        <v>2451</v>
      </c>
      <c r="C450" s="8"/>
      <c r="D450" s="8" t="s">
        <v>1750</v>
      </c>
      <c r="E450" s="8" t="s">
        <v>2451</v>
      </c>
      <c r="F450" s="8" t="s">
        <v>2451</v>
      </c>
      <c r="G450" s="8" t="s">
        <v>2451</v>
      </c>
    </row>
    <row r="451" spans="1:7" outlineLevel="2" x14ac:dyDescent="0.35">
      <c r="A451" s="8" t="s">
        <v>2451</v>
      </c>
      <c r="B451" s="8" t="s">
        <v>2451</v>
      </c>
      <c r="C451" s="8"/>
      <c r="D451" s="8" t="s">
        <v>1751</v>
      </c>
      <c r="E451" s="8" t="s">
        <v>2451</v>
      </c>
      <c r="F451" s="8" t="s">
        <v>2451</v>
      </c>
      <c r="G451" s="8" t="s">
        <v>2451</v>
      </c>
    </row>
    <row r="452" spans="1:7" outlineLevel="1" x14ac:dyDescent="0.35">
      <c r="A452" s="8" t="s">
        <v>229</v>
      </c>
      <c r="B452" s="8" t="s">
        <v>617</v>
      </c>
      <c r="C452" s="8">
        <v>1</v>
      </c>
      <c r="D452" s="8" t="s">
        <v>2451</v>
      </c>
      <c r="E452" s="8" t="s">
        <v>2451</v>
      </c>
      <c r="F452" s="8" t="s">
        <v>2451</v>
      </c>
      <c r="G452" s="8" t="s">
        <v>2451</v>
      </c>
    </row>
    <row r="453" spans="1:7" outlineLevel="1" x14ac:dyDescent="0.35">
      <c r="A453" s="8" t="s">
        <v>2451</v>
      </c>
      <c r="B453" s="8" t="s">
        <v>2451</v>
      </c>
      <c r="C453" s="8"/>
      <c r="D453" s="8" t="s">
        <v>1744</v>
      </c>
      <c r="E453" s="8" t="s">
        <v>2451</v>
      </c>
      <c r="F453" s="8" t="s">
        <v>2451</v>
      </c>
      <c r="G453" s="8" t="s">
        <v>2451</v>
      </c>
    </row>
    <row r="454" spans="1:7" outlineLevel="1" x14ac:dyDescent="0.35">
      <c r="A454" s="8" t="s">
        <v>229</v>
      </c>
      <c r="B454" s="8" t="s">
        <v>621</v>
      </c>
      <c r="C454" s="8">
        <v>1</v>
      </c>
      <c r="D454" s="8" t="s">
        <v>2451</v>
      </c>
      <c r="E454" s="8" t="s">
        <v>2451</v>
      </c>
      <c r="F454" s="8" t="s">
        <v>2451</v>
      </c>
      <c r="G454" s="8" t="s">
        <v>2451</v>
      </c>
    </row>
    <row r="455" spans="1:7" outlineLevel="1" x14ac:dyDescent="0.35">
      <c r="A455" s="8" t="s">
        <v>2451</v>
      </c>
      <c r="B455" s="8" t="s">
        <v>2451</v>
      </c>
      <c r="C455" s="8"/>
      <c r="D455" s="8" t="s">
        <v>1743</v>
      </c>
      <c r="E455" s="8" t="s">
        <v>2451</v>
      </c>
      <c r="F455" s="8" t="s">
        <v>2451</v>
      </c>
      <c r="G455" s="8" t="s">
        <v>2451</v>
      </c>
    </row>
    <row r="456" spans="1:7" outlineLevel="1" x14ac:dyDescent="0.35">
      <c r="A456" s="8" t="s">
        <v>229</v>
      </c>
      <c r="B456" s="8" t="s">
        <v>624</v>
      </c>
      <c r="C456" s="8">
        <v>5</v>
      </c>
      <c r="D456" s="8" t="s">
        <v>2451</v>
      </c>
      <c r="E456" s="8" t="s">
        <v>2451</v>
      </c>
      <c r="F456" s="8" t="s">
        <v>2451</v>
      </c>
      <c r="G456" s="8" t="s">
        <v>2451</v>
      </c>
    </row>
    <row r="457" spans="1:7" outlineLevel="2" x14ac:dyDescent="0.35">
      <c r="A457" s="8" t="s">
        <v>2451</v>
      </c>
      <c r="B457" s="8" t="s">
        <v>2451</v>
      </c>
      <c r="C457" s="8"/>
      <c r="D457" s="8" t="s">
        <v>1738</v>
      </c>
      <c r="E457" s="8" t="s">
        <v>2451</v>
      </c>
      <c r="F457" s="8" t="s">
        <v>2451</v>
      </c>
      <c r="G457" s="8" t="s">
        <v>2451</v>
      </c>
    </row>
    <row r="458" spans="1:7" outlineLevel="2" x14ac:dyDescent="0.35">
      <c r="A458" s="8" t="s">
        <v>2451</v>
      </c>
      <c r="B458" s="8" t="s">
        <v>2451</v>
      </c>
      <c r="C458" s="8"/>
      <c r="D458" s="8" t="s">
        <v>1739</v>
      </c>
      <c r="E458" s="8" t="s">
        <v>2451</v>
      </c>
      <c r="F458" s="8" t="s">
        <v>2451</v>
      </c>
      <c r="G458" s="8" t="s">
        <v>2451</v>
      </c>
    </row>
    <row r="459" spans="1:7" outlineLevel="2" x14ac:dyDescent="0.35">
      <c r="A459" s="8" t="s">
        <v>2451</v>
      </c>
      <c r="B459" s="8" t="s">
        <v>2451</v>
      </c>
      <c r="C459" s="8"/>
      <c r="D459" s="8" t="s">
        <v>1740</v>
      </c>
      <c r="E459" s="8" t="s">
        <v>2451</v>
      </c>
      <c r="F459" s="8" t="s">
        <v>2451</v>
      </c>
      <c r="G459" s="8" t="s">
        <v>2451</v>
      </c>
    </row>
    <row r="460" spans="1:7" outlineLevel="2" x14ac:dyDescent="0.35">
      <c r="A460" s="8" t="s">
        <v>2451</v>
      </c>
      <c r="B460" s="8" t="s">
        <v>2451</v>
      </c>
      <c r="C460" s="8"/>
      <c r="D460" s="8" t="s">
        <v>1741</v>
      </c>
      <c r="E460" s="8" t="s">
        <v>2451</v>
      </c>
      <c r="F460" s="8" t="s">
        <v>2451</v>
      </c>
      <c r="G460" s="8" t="s">
        <v>2451</v>
      </c>
    </row>
    <row r="461" spans="1:7" outlineLevel="2" x14ac:dyDescent="0.35">
      <c r="A461" s="8" t="s">
        <v>2451</v>
      </c>
      <c r="B461" s="8" t="s">
        <v>2451</v>
      </c>
      <c r="C461" s="8"/>
      <c r="D461" s="8" t="s">
        <v>1742</v>
      </c>
      <c r="E461" s="8" t="s">
        <v>2451</v>
      </c>
      <c r="F461" s="8" t="s">
        <v>2451</v>
      </c>
      <c r="G461" s="8" t="s">
        <v>2451</v>
      </c>
    </row>
    <row r="462" spans="1:7" outlineLevel="1" x14ac:dyDescent="0.35">
      <c r="A462" s="8" t="s">
        <v>229</v>
      </c>
      <c r="B462" s="8" t="s">
        <v>627</v>
      </c>
      <c r="C462" s="8">
        <v>9</v>
      </c>
      <c r="D462" s="8" t="s">
        <v>2451</v>
      </c>
      <c r="E462" s="8" t="s">
        <v>2451</v>
      </c>
      <c r="F462" s="8" t="s">
        <v>2451</v>
      </c>
      <c r="G462" s="8" t="s">
        <v>2451</v>
      </c>
    </row>
    <row r="463" spans="1:7" outlineLevel="2" x14ac:dyDescent="0.35">
      <c r="A463" s="8" t="s">
        <v>2451</v>
      </c>
      <c r="B463" s="8" t="s">
        <v>2451</v>
      </c>
      <c r="C463" s="8"/>
      <c r="D463" s="8" t="s">
        <v>1729</v>
      </c>
      <c r="E463" s="8" t="s">
        <v>2451</v>
      </c>
      <c r="F463" s="8" t="s">
        <v>2451</v>
      </c>
      <c r="G463" s="8" t="s">
        <v>2451</v>
      </c>
    </row>
    <row r="464" spans="1:7" outlineLevel="2" x14ac:dyDescent="0.35">
      <c r="A464" s="8" t="s">
        <v>2451</v>
      </c>
      <c r="B464" s="8" t="s">
        <v>2451</v>
      </c>
      <c r="C464" s="8"/>
      <c r="D464" s="8" t="s">
        <v>1730</v>
      </c>
      <c r="E464" s="8" t="s">
        <v>2451</v>
      </c>
      <c r="F464" s="8" t="s">
        <v>2451</v>
      </c>
      <c r="G464" s="8" t="s">
        <v>2451</v>
      </c>
    </row>
    <row r="465" spans="1:7" outlineLevel="2" x14ac:dyDescent="0.35">
      <c r="A465" s="8" t="s">
        <v>2451</v>
      </c>
      <c r="B465" s="8" t="s">
        <v>2451</v>
      </c>
      <c r="C465" s="8"/>
      <c r="D465" s="8" t="s">
        <v>1731</v>
      </c>
      <c r="E465" s="8" t="s">
        <v>2451</v>
      </c>
      <c r="F465" s="8" t="s">
        <v>2451</v>
      </c>
      <c r="G465" s="8" t="s">
        <v>2451</v>
      </c>
    </row>
    <row r="466" spans="1:7" outlineLevel="2" x14ac:dyDescent="0.35">
      <c r="A466" s="8" t="s">
        <v>2451</v>
      </c>
      <c r="B466" s="8" t="s">
        <v>2451</v>
      </c>
      <c r="C466" s="8"/>
      <c r="D466" s="8" t="s">
        <v>1732</v>
      </c>
      <c r="E466" s="8" t="s">
        <v>2451</v>
      </c>
      <c r="F466" s="8" t="s">
        <v>2451</v>
      </c>
      <c r="G466" s="8" t="s">
        <v>2451</v>
      </c>
    </row>
    <row r="467" spans="1:7" outlineLevel="2" x14ac:dyDescent="0.35">
      <c r="A467" s="8" t="s">
        <v>2451</v>
      </c>
      <c r="B467" s="8" t="s">
        <v>2451</v>
      </c>
      <c r="C467" s="8"/>
      <c r="D467" s="8" t="s">
        <v>1733</v>
      </c>
      <c r="E467" s="8" t="s">
        <v>2451</v>
      </c>
      <c r="F467" s="8" t="s">
        <v>2451</v>
      </c>
      <c r="G467" s="8" t="s">
        <v>2451</v>
      </c>
    </row>
    <row r="468" spans="1:7" outlineLevel="2" x14ac:dyDescent="0.35">
      <c r="A468" s="8" t="s">
        <v>2451</v>
      </c>
      <c r="B468" s="8" t="s">
        <v>2451</v>
      </c>
      <c r="C468" s="8"/>
      <c r="D468" s="8" t="s">
        <v>1734</v>
      </c>
      <c r="E468" s="8" t="s">
        <v>2451</v>
      </c>
      <c r="F468" s="8" t="s">
        <v>2451</v>
      </c>
      <c r="G468" s="8" t="s">
        <v>2451</v>
      </c>
    </row>
    <row r="469" spans="1:7" outlineLevel="2" x14ac:dyDescent="0.35">
      <c r="A469" s="8" t="s">
        <v>2451</v>
      </c>
      <c r="B469" s="8" t="s">
        <v>2451</v>
      </c>
      <c r="C469" s="8"/>
      <c r="D469" s="8" t="s">
        <v>1735</v>
      </c>
      <c r="E469" s="8" t="s">
        <v>2451</v>
      </c>
      <c r="F469" s="8" t="s">
        <v>2451</v>
      </c>
      <c r="G469" s="8" t="s">
        <v>2451</v>
      </c>
    </row>
    <row r="470" spans="1:7" outlineLevel="2" x14ac:dyDescent="0.35">
      <c r="A470" s="8" t="s">
        <v>2451</v>
      </c>
      <c r="B470" s="8" t="s">
        <v>2451</v>
      </c>
      <c r="C470" s="8"/>
      <c r="D470" s="8" t="s">
        <v>1736</v>
      </c>
      <c r="E470" s="8" t="s">
        <v>2451</v>
      </c>
      <c r="F470" s="8" t="s">
        <v>2451</v>
      </c>
      <c r="G470" s="8" t="s">
        <v>2451</v>
      </c>
    </row>
    <row r="471" spans="1:7" outlineLevel="2" x14ac:dyDescent="0.35">
      <c r="A471" s="8" t="s">
        <v>2451</v>
      </c>
      <c r="B471" s="8" t="s">
        <v>2451</v>
      </c>
      <c r="C471" s="8"/>
      <c r="D471" s="8" t="s">
        <v>1737</v>
      </c>
      <c r="E471" s="8" t="s">
        <v>2451</v>
      </c>
      <c r="F471" s="8" t="s">
        <v>2451</v>
      </c>
      <c r="G471" s="8" t="s">
        <v>2451</v>
      </c>
    </row>
    <row r="472" spans="1:7" outlineLevel="1" x14ac:dyDescent="0.35">
      <c r="A472" s="8" t="s">
        <v>229</v>
      </c>
      <c r="B472" s="8" t="s">
        <v>630</v>
      </c>
      <c r="C472" s="8">
        <v>6</v>
      </c>
      <c r="D472" s="8" t="s">
        <v>2451</v>
      </c>
      <c r="E472" s="8" t="s">
        <v>2451</v>
      </c>
      <c r="F472" s="8" t="s">
        <v>2451</v>
      </c>
      <c r="G472" s="8" t="s">
        <v>2451</v>
      </c>
    </row>
    <row r="473" spans="1:7" outlineLevel="2" x14ac:dyDescent="0.35">
      <c r="A473" s="8" t="s">
        <v>2451</v>
      </c>
      <c r="B473" s="8" t="s">
        <v>2451</v>
      </c>
      <c r="C473" s="8"/>
      <c r="D473" s="8" t="s">
        <v>1723</v>
      </c>
      <c r="E473" s="8" t="s">
        <v>2451</v>
      </c>
      <c r="F473" s="8" t="s">
        <v>2451</v>
      </c>
      <c r="G473" s="8" t="s">
        <v>2451</v>
      </c>
    </row>
    <row r="474" spans="1:7" outlineLevel="2" x14ac:dyDescent="0.35">
      <c r="A474" s="8" t="s">
        <v>2451</v>
      </c>
      <c r="B474" s="8" t="s">
        <v>2451</v>
      </c>
      <c r="C474" s="8"/>
      <c r="D474" s="8" t="s">
        <v>1724</v>
      </c>
      <c r="E474" s="8" t="s">
        <v>2451</v>
      </c>
      <c r="F474" s="8" t="s">
        <v>2451</v>
      </c>
      <c r="G474" s="8" t="s">
        <v>2451</v>
      </c>
    </row>
    <row r="475" spans="1:7" outlineLevel="2" x14ac:dyDescent="0.35">
      <c r="A475" s="8" t="s">
        <v>2451</v>
      </c>
      <c r="B475" s="8" t="s">
        <v>2451</v>
      </c>
      <c r="C475" s="8"/>
      <c r="D475" s="8" t="s">
        <v>1725</v>
      </c>
      <c r="E475" s="8" t="s">
        <v>2451</v>
      </c>
      <c r="F475" s="8" t="s">
        <v>2451</v>
      </c>
      <c r="G475" s="8" t="s">
        <v>2451</v>
      </c>
    </row>
    <row r="476" spans="1:7" outlineLevel="2" x14ac:dyDescent="0.35">
      <c r="A476" s="8" t="s">
        <v>2451</v>
      </c>
      <c r="B476" s="8" t="s">
        <v>2451</v>
      </c>
      <c r="C476" s="8"/>
      <c r="D476" s="8" t="s">
        <v>1726</v>
      </c>
      <c r="E476" s="8" t="s">
        <v>2451</v>
      </c>
      <c r="F476" s="8" t="s">
        <v>2451</v>
      </c>
      <c r="G476" s="8" t="s">
        <v>2451</v>
      </c>
    </row>
    <row r="477" spans="1:7" outlineLevel="2" x14ac:dyDescent="0.35">
      <c r="A477" s="8" t="s">
        <v>2451</v>
      </c>
      <c r="B477" s="8" t="s">
        <v>2451</v>
      </c>
      <c r="C477" s="8"/>
      <c r="D477" s="8" t="s">
        <v>1727</v>
      </c>
      <c r="E477" s="8" t="s">
        <v>2451</v>
      </c>
      <c r="F477" s="8" t="s">
        <v>2451</v>
      </c>
      <c r="G477" s="8" t="s">
        <v>2451</v>
      </c>
    </row>
    <row r="478" spans="1:7" outlineLevel="2" x14ac:dyDescent="0.35">
      <c r="A478" s="8" t="s">
        <v>2451</v>
      </c>
      <c r="B478" s="8" t="s">
        <v>2451</v>
      </c>
      <c r="C478" s="8"/>
      <c r="D478" s="8" t="s">
        <v>1728</v>
      </c>
      <c r="E478" s="8" t="s">
        <v>2451</v>
      </c>
      <c r="F478" s="8" t="s">
        <v>2451</v>
      </c>
      <c r="G478" s="8" t="s">
        <v>2451</v>
      </c>
    </row>
    <row r="479" spans="1:7" outlineLevel="1" x14ac:dyDescent="0.35">
      <c r="A479" s="8" t="s">
        <v>229</v>
      </c>
      <c r="B479" s="8" t="s">
        <v>632</v>
      </c>
      <c r="C479" s="8">
        <v>4</v>
      </c>
      <c r="D479" s="8" t="s">
        <v>2451</v>
      </c>
      <c r="E479" s="8" t="s">
        <v>2451</v>
      </c>
      <c r="F479" s="8" t="s">
        <v>2451</v>
      </c>
      <c r="G479" s="8" t="s">
        <v>2451</v>
      </c>
    </row>
    <row r="480" spans="1:7" outlineLevel="2" x14ac:dyDescent="0.35">
      <c r="A480" s="8" t="s">
        <v>2451</v>
      </c>
      <c r="B480" s="8" t="s">
        <v>2451</v>
      </c>
      <c r="C480" s="8"/>
      <c r="D480" s="8" t="s">
        <v>1719</v>
      </c>
      <c r="E480" s="8" t="s">
        <v>2451</v>
      </c>
      <c r="F480" s="8" t="s">
        <v>2451</v>
      </c>
      <c r="G480" s="8" t="s">
        <v>2451</v>
      </c>
    </row>
    <row r="481" spans="1:7" outlineLevel="2" x14ac:dyDescent="0.35">
      <c r="A481" s="8" t="s">
        <v>2451</v>
      </c>
      <c r="B481" s="8" t="s">
        <v>2451</v>
      </c>
      <c r="C481" s="8"/>
      <c r="D481" s="8" t="s">
        <v>1720</v>
      </c>
      <c r="E481" s="8" t="s">
        <v>2451</v>
      </c>
      <c r="F481" s="8" t="s">
        <v>2451</v>
      </c>
      <c r="G481" s="8" t="s">
        <v>2451</v>
      </c>
    </row>
    <row r="482" spans="1:7" outlineLevel="2" x14ac:dyDescent="0.35">
      <c r="A482" s="8" t="s">
        <v>2451</v>
      </c>
      <c r="B482" s="8" t="s">
        <v>2451</v>
      </c>
      <c r="C482" s="8"/>
      <c r="D482" s="8" t="s">
        <v>1721</v>
      </c>
      <c r="E482" s="8" t="s">
        <v>2451</v>
      </c>
      <c r="F482" s="8" t="s">
        <v>2451</v>
      </c>
      <c r="G482" s="8" t="s">
        <v>2451</v>
      </c>
    </row>
    <row r="483" spans="1:7" outlineLevel="2" x14ac:dyDescent="0.35">
      <c r="A483" s="8" t="s">
        <v>2451</v>
      </c>
      <c r="B483" s="8" t="s">
        <v>2451</v>
      </c>
      <c r="C483" s="8"/>
      <c r="D483" s="8" t="s">
        <v>1722</v>
      </c>
      <c r="E483" s="8" t="s">
        <v>2451</v>
      </c>
      <c r="F483" s="8" t="s">
        <v>2451</v>
      </c>
      <c r="G483" s="8" t="s">
        <v>2451</v>
      </c>
    </row>
    <row r="484" spans="1:7" outlineLevel="1" x14ac:dyDescent="0.35">
      <c r="A484" s="8" t="s">
        <v>229</v>
      </c>
      <c r="B484" s="8" t="s">
        <v>635</v>
      </c>
      <c r="C484" s="8">
        <v>6</v>
      </c>
      <c r="D484" s="8" t="s">
        <v>2451</v>
      </c>
      <c r="E484" s="8" t="s">
        <v>2451</v>
      </c>
      <c r="F484" s="8" t="s">
        <v>2451</v>
      </c>
      <c r="G484" s="8" t="s">
        <v>2451</v>
      </c>
    </row>
    <row r="485" spans="1:7" outlineLevel="2" x14ac:dyDescent="0.35">
      <c r="A485" s="8" t="s">
        <v>2451</v>
      </c>
      <c r="B485" s="8" t="s">
        <v>2451</v>
      </c>
      <c r="C485" s="8"/>
      <c r="D485" s="8" t="s">
        <v>1713</v>
      </c>
      <c r="E485" s="8" t="s">
        <v>2450</v>
      </c>
      <c r="F485" s="8" t="s">
        <v>2464</v>
      </c>
      <c r="G485" s="8" t="s">
        <v>2446</v>
      </c>
    </row>
    <row r="486" spans="1:7" outlineLevel="2" x14ac:dyDescent="0.35">
      <c r="A486" s="8" t="s">
        <v>2451</v>
      </c>
      <c r="B486" s="8" t="s">
        <v>2451</v>
      </c>
      <c r="C486" s="8"/>
      <c r="D486" s="8" t="s">
        <v>1714</v>
      </c>
      <c r="E486" s="8" t="s">
        <v>2451</v>
      </c>
      <c r="F486" s="8" t="s">
        <v>2451</v>
      </c>
      <c r="G486" s="8" t="s">
        <v>2451</v>
      </c>
    </row>
    <row r="487" spans="1:7" outlineLevel="2" x14ac:dyDescent="0.35">
      <c r="A487" s="8" t="s">
        <v>2451</v>
      </c>
      <c r="B487" s="8" t="s">
        <v>2451</v>
      </c>
      <c r="C487" s="8"/>
      <c r="D487" s="8" t="s">
        <v>1715</v>
      </c>
      <c r="E487" s="8" t="s">
        <v>2451</v>
      </c>
      <c r="F487" s="8" t="s">
        <v>2451</v>
      </c>
      <c r="G487" s="8" t="s">
        <v>2451</v>
      </c>
    </row>
    <row r="488" spans="1:7" outlineLevel="2" x14ac:dyDescent="0.35">
      <c r="A488" s="8" t="s">
        <v>2451</v>
      </c>
      <c r="B488" s="8" t="s">
        <v>2451</v>
      </c>
      <c r="C488" s="8"/>
      <c r="D488" s="8" t="s">
        <v>1716</v>
      </c>
      <c r="E488" s="8" t="s">
        <v>2451</v>
      </c>
      <c r="F488" s="8" t="s">
        <v>2451</v>
      </c>
      <c r="G488" s="8" t="s">
        <v>2451</v>
      </c>
    </row>
    <row r="489" spans="1:7" outlineLevel="2" x14ac:dyDescent="0.35">
      <c r="A489" s="8" t="s">
        <v>2451</v>
      </c>
      <c r="B489" s="8" t="s">
        <v>2451</v>
      </c>
      <c r="C489" s="8"/>
      <c r="D489" s="8" t="s">
        <v>1717</v>
      </c>
      <c r="E489" s="8" t="s">
        <v>2451</v>
      </c>
      <c r="F489" s="8" t="s">
        <v>2451</v>
      </c>
      <c r="G489" s="8" t="s">
        <v>2451</v>
      </c>
    </row>
    <row r="490" spans="1:7" outlineLevel="2" x14ac:dyDescent="0.35">
      <c r="A490" s="8" t="s">
        <v>2451</v>
      </c>
      <c r="B490" s="8" t="s">
        <v>2451</v>
      </c>
      <c r="C490" s="8"/>
      <c r="D490" s="8" t="s">
        <v>1718</v>
      </c>
      <c r="E490" s="8" t="s">
        <v>2451</v>
      </c>
      <c r="F490" s="8" t="s">
        <v>2451</v>
      </c>
      <c r="G490" s="8" t="s">
        <v>2451</v>
      </c>
    </row>
    <row r="491" spans="1:7" outlineLevel="1" x14ac:dyDescent="0.35">
      <c r="A491" s="8" t="s">
        <v>229</v>
      </c>
      <c r="B491" s="8" t="s">
        <v>638</v>
      </c>
      <c r="C491" s="8">
        <v>8</v>
      </c>
      <c r="D491" s="8" t="s">
        <v>2451</v>
      </c>
      <c r="E491" s="8" t="s">
        <v>2451</v>
      </c>
      <c r="F491" s="8" t="s">
        <v>2451</v>
      </c>
      <c r="G491" s="8" t="s">
        <v>2451</v>
      </c>
    </row>
    <row r="492" spans="1:7" outlineLevel="2" x14ac:dyDescent="0.35">
      <c r="A492" s="8" t="s">
        <v>2451</v>
      </c>
      <c r="B492" s="8" t="s">
        <v>2451</v>
      </c>
      <c r="C492" s="8"/>
      <c r="D492" s="8" t="s">
        <v>1705</v>
      </c>
      <c r="E492" s="8" t="s">
        <v>2451</v>
      </c>
      <c r="F492" s="8" t="s">
        <v>2451</v>
      </c>
      <c r="G492" s="8" t="s">
        <v>2451</v>
      </c>
    </row>
    <row r="493" spans="1:7" outlineLevel="2" x14ac:dyDescent="0.35">
      <c r="A493" s="8" t="s">
        <v>2451</v>
      </c>
      <c r="B493" s="8" t="s">
        <v>2451</v>
      </c>
      <c r="C493" s="8"/>
      <c r="D493" s="8" t="s">
        <v>1706</v>
      </c>
      <c r="E493" s="8" t="s">
        <v>2451</v>
      </c>
      <c r="F493" s="8" t="s">
        <v>2451</v>
      </c>
      <c r="G493" s="8" t="s">
        <v>2451</v>
      </c>
    </row>
    <row r="494" spans="1:7" outlineLevel="2" x14ac:dyDescent="0.35">
      <c r="A494" s="8" t="s">
        <v>2451</v>
      </c>
      <c r="B494" s="8" t="s">
        <v>2451</v>
      </c>
      <c r="C494" s="8"/>
      <c r="D494" s="8" t="s">
        <v>1707</v>
      </c>
      <c r="E494" s="8" t="s">
        <v>2451</v>
      </c>
      <c r="F494" s="8" t="s">
        <v>2451</v>
      </c>
      <c r="G494" s="8" t="s">
        <v>2451</v>
      </c>
    </row>
    <row r="495" spans="1:7" outlineLevel="2" x14ac:dyDescent="0.35">
      <c r="A495" s="8" t="s">
        <v>2451</v>
      </c>
      <c r="B495" s="8" t="s">
        <v>2451</v>
      </c>
      <c r="C495" s="8"/>
      <c r="D495" s="8" t="s">
        <v>1708</v>
      </c>
      <c r="E495" s="8" t="s">
        <v>2451</v>
      </c>
      <c r="F495" s="8" t="s">
        <v>2451</v>
      </c>
      <c r="G495" s="8" t="s">
        <v>2451</v>
      </c>
    </row>
    <row r="496" spans="1:7" outlineLevel="2" x14ac:dyDescent="0.35">
      <c r="A496" s="8" t="s">
        <v>2451</v>
      </c>
      <c r="B496" s="8" t="s">
        <v>2451</v>
      </c>
      <c r="C496" s="8"/>
      <c r="D496" s="8" t="s">
        <v>1709</v>
      </c>
      <c r="E496" s="8" t="s">
        <v>2451</v>
      </c>
      <c r="F496" s="8" t="s">
        <v>2451</v>
      </c>
      <c r="G496" s="8" t="s">
        <v>2451</v>
      </c>
    </row>
    <row r="497" spans="1:7" outlineLevel="2" x14ac:dyDescent="0.35">
      <c r="A497" s="8" t="s">
        <v>2451</v>
      </c>
      <c r="B497" s="8" t="s">
        <v>2451</v>
      </c>
      <c r="C497" s="8"/>
      <c r="D497" s="8" t="s">
        <v>1710</v>
      </c>
      <c r="E497" s="8" t="s">
        <v>2451</v>
      </c>
      <c r="F497" s="8" t="s">
        <v>2451</v>
      </c>
      <c r="G497" s="8" t="s">
        <v>2451</v>
      </c>
    </row>
    <row r="498" spans="1:7" outlineLevel="2" x14ac:dyDescent="0.35">
      <c r="A498" s="8" t="s">
        <v>2451</v>
      </c>
      <c r="B498" s="8" t="s">
        <v>2451</v>
      </c>
      <c r="C498" s="8"/>
      <c r="D498" s="8" t="s">
        <v>1711</v>
      </c>
      <c r="E498" s="8" t="s">
        <v>2451</v>
      </c>
      <c r="F498" s="8" t="s">
        <v>2451</v>
      </c>
      <c r="G498" s="8" t="s">
        <v>2451</v>
      </c>
    </row>
    <row r="499" spans="1:7" outlineLevel="2" x14ac:dyDescent="0.35">
      <c r="A499" s="8" t="s">
        <v>2451</v>
      </c>
      <c r="B499" s="8" t="s">
        <v>2451</v>
      </c>
      <c r="C499" s="8"/>
      <c r="D499" s="8" t="s">
        <v>1712</v>
      </c>
      <c r="E499" s="8" t="s">
        <v>2451</v>
      </c>
      <c r="F499" s="8" t="s">
        <v>2451</v>
      </c>
      <c r="G499" s="8" t="s">
        <v>2451</v>
      </c>
    </row>
    <row r="500" spans="1:7" outlineLevel="1" x14ac:dyDescent="0.35">
      <c r="A500" s="8" t="s">
        <v>296</v>
      </c>
      <c r="B500" s="8" t="s">
        <v>641</v>
      </c>
      <c r="C500" s="8">
        <v>10</v>
      </c>
      <c r="D500" s="8" t="s">
        <v>2451</v>
      </c>
      <c r="E500" s="8" t="s">
        <v>2451</v>
      </c>
      <c r="F500" s="8" t="s">
        <v>2451</v>
      </c>
      <c r="G500" s="8" t="s">
        <v>2451</v>
      </c>
    </row>
    <row r="501" spans="1:7" outlineLevel="2" x14ac:dyDescent="0.35">
      <c r="A501" s="8" t="s">
        <v>2451</v>
      </c>
      <c r="B501" s="8" t="s">
        <v>2451</v>
      </c>
      <c r="C501" s="8"/>
      <c r="D501" s="8" t="s">
        <v>1695</v>
      </c>
      <c r="E501" s="8" t="s">
        <v>2451</v>
      </c>
      <c r="F501" s="8" t="s">
        <v>2451</v>
      </c>
      <c r="G501" s="8" t="s">
        <v>2451</v>
      </c>
    </row>
    <row r="502" spans="1:7" outlineLevel="2" x14ac:dyDescent="0.35">
      <c r="A502" s="8" t="s">
        <v>2451</v>
      </c>
      <c r="B502" s="8" t="s">
        <v>2451</v>
      </c>
      <c r="C502" s="8"/>
      <c r="D502" s="8" t="s">
        <v>1696</v>
      </c>
      <c r="E502" s="8" t="s">
        <v>2451</v>
      </c>
      <c r="F502" s="8" t="s">
        <v>2451</v>
      </c>
      <c r="G502" s="8" t="s">
        <v>2451</v>
      </c>
    </row>
    <row r="503" spans="1:7" outlineLevel="2" x14ac:dyDescent="0.35">
      <c r="A503" s="8" t="s">
        <v>2451</v>
      </c>
      <c r="B503" s="8" t="s">
        <v>2451</v>
      </c>
      <c r="C503" s="8"/>
      <c r="D503" s="8" t="s">
        <v>1697</v>
      </c>
      <c r="E503" s="8" t="s">
        <v>2451</v>
      </c>
      <c r="F503" s="8" t="s">
        <v>2451</v>
      </c>
      <c r="G503" s="8" t="s">
        <v>2451</v>
      </c>
    </row>
    <row r="504" spans="1:7" outlineLevel="2" x14ac:dyDescent="0.35">
      <c r="A504" s="8" t="s">
        <v>2451</v>
      </c>
      <c r="B504" s="8" t="s">
        <v>2451</v>
      </c>
      <c r="C504" s="8"/>
      <c r="D504" s="8" t="s">
        <v>1698</v>
      </c>
      <c r="E504" s="8" t="s">
        <v>2451</v>
      </c>
      <c r="F504" s="8" t="s">
        <v>2451</v>
      </c>
      <c r="G504" s="8" t="s">
        <v>2451</v>
      </c>
    </row>
    <row r="505" spans="1:7" outlineLevel="2" x14ac:dyDescent="0.35">
      <c r="A505" s="8" t="s">
        <v>2451</v>
      </c>
      <c r="B505" s="8" t="s">
        <v>2451</v>
      </c>
      <c r="C505" s="8"/>
      <c r="D505" s="8" t="s">
        <v>1699</v>
      </c>
      <c r="E505" s="8" t="s">
        <v>2451</v>
      </c>
      <c r="F505" s="8" t="s">
        <v>2451</v>
      </c>
      <c r="G505" s="8" t="s">
        <v>2451</v>
      </c>
    </row>
    <row r="506" spans="1:7" outlineLevel="2" x14ac:dyDescent="0.35">
      <c r="A506" s="8" t="s">
        <v>2451</v>
      </c>
      <c r="B506" s="8" t="s">
        <v>2451</v>
      </c>
      <c r="C506" s="8"/>
      <c r="D506" s="8" t="s">
        <v>1700</v>
      </c>
      <c r="E506" s="8" t="s">
        <v>2451</v>
      </c>
      <c r="F506" s="8" t="s">
        <v>2451</v>
      </c>
      <c r="G506" s="8" t="s">
        <v>2451</v>
      </c>
    </row>
    <row r="507" spans="1:7" outlineLevel="2" x14ac:dyDescent="0.35">
      <c r="A507" s="8" t="s">
        <v>2451</v>
      </c>
      <c r="B507" s="8" t="s">
        <v>2451</v>
      </c>
      <c r="C507" s="8"/>
      <c r="D507" s="8" t="s">
        <v>1701</v>
      </c>
      <c r="E507" s="8" t="s">
        <v>2451</v>
      </c>
      <c r="F507" s="8" t="s">
        <v>2451</v>
      </c>
      <c r="G507" s="8" t="s">
        <v>2451</v>
      </c>
    </row>
    <row r="508" spans="1:7" outlineLevel="2" x14ac:dyDescent="0.35">
      <c r="A508" s="8" t="s">
        <v>2451</v>
      </c>
      <c r="B508" s="8" t="s">
        <v>2451</v>
      </c>
      <c r="C508" s="8"/>
      <c r="D508" s="8" t="s">
        <v>1702</v>
      </c>
      <c r="E508" s="8" t="s">
        <v>2451</v>
      </c>
      <c r="F508" s="8" t="s">
        <v>2451</v>
      </c>
      <c r="G508" s="8" t="s">
        <v>2451</v>
      </c>
    </row>
    <row r="509" spans="1:7" outlineLevel="2" x14ac:dyDescent="0.35">
      <c r="A509" s="8" t="s">
        <v>2451</v>
      </c>
      <c r="B509" s="8" t="s">
        <v>2451</v>
      </c>
      <c r="C509" s="8"/>
      <c r="D509" s="8" t="s">
        <v>1703</v>
      </c>
      <c r="E509" s="8" t="s">
        <v>2451</v>
      </c>
      <c r="F509" s="8" t="s">
        <v>2451</v>
      </c>
      <c r="G509" s="8" t="s">
        <v>2451</v>
      </c>
    </row>
    <row r="510" spans="1:7" outlineLevel="2" x14ac:dyDescent="0.35">
      <c r="A510" s="8" t="s">
        <v>2451</v>
      </c>
      <c r="B510" s="8" t="s">
        <v>2451</v>
      </c>
      <c r="C510" s="8"/>
      <c r="D510" s="8" t="s">
        <v>1704</v>
      </c>
      <c r="E510" s="8" t="s">
        <v>2451</v>
      </c>
      <c r="F510" s="8" t="s">
        <v>2451</v>
      </c>
      <c r="G510" s="8" t="s">
        <v>2451</v>
      </c>
    </row>
    <row r="511" spans="1:7" outlineLevel="1" x14ac:dyDescent="0.35">
      <c r="A511" s="8" t="s">
        <v>343</v>
      </c>
      <c r="B511" s="8" t="s">
        <v>644</v>
      </c>
      <c r="C511" s="8">
        <v>6</v>
      </c>
      <c r="D511" s="8" t="s">
        <v>2451</v>
      </c>
      <c r="E511" s="8" t="s">
        <v>2451</v>
      </c>
      <c r="F511" s="8" t="s">
        <v>2451</v>
      </c>
      <c r="G511" s="8" t="s">
        <v>2451</v>
      </c>
    </row>
    <row r="512" spans="1:7" outlineLevel="2" x14ac:dyDescent="0.35">
      <c r="A512" s="8" t="s">
        <v>2451</v>
      </c>
      <c r="B512" s="8" t="s">
        <v>2451</v>
      </c>
      <c r="C512" s="8"/>
      <c r="D512" s="8" t="s">
        <v>1689</v>
      </c>
      <c r="E512" s="8" t="s">
        <v>2451</v>
      </c>
      <c r="F512" s="8" t="s">
        <v>2451</v>
      </c>
      <c r="G512" s="8" t="s">
        <v>2451</v>
      </c>
    </row>
    <row r="513" spans="1:7" outlineLevel="2" x14ac:dyDescent="0.35">
      <c r="A513" s="8" t="s">
        <v>2451</v>
      </c>
      <c r="B513" s="8" t="s">
        <v>2451</v>
      </c>
      <c r="C513" s="8"/>
      <c r="D513" s="8" t="s">
        <v>1690</v>
      </c>
      <c r="E513" s="8" t="s">
        <v>2451</v>
      </c>
      <c r="F513" s="8" t="s">
        <v>2451</v>
      </c>
      <c r="G513" s="8" t="s">
        <v>2451</v>
      </c>
    </row>
    <row r="514" spans="1:7" outlineLevel="2" x14ac:dyDescent="0.35">
      <c r="A514" s="8" t="s">
        <v>2451</v>
      </c>
      <c r="B514" s="8" t="s">
        <v>2451</v>
      </c>
      <c r="C514" s="8"/>
      <c r="D514" s="8" t="s">
        <v>1691</v>
      </c>
      <c r="E514" s="8" t="s">
        <v>2451</v>
      </c>
      <c r="F514" s="8" t="s">
        <v>2451</v>
      </c>
      <c r="G514" s="8" t="s">
        <v>2451</v>
      </c>
    </row>
    <row r="515" spans="1:7" outlineLevel="2" x14ac:dyDescent="0.35">
      <c r="A515" s="8" t="s">
        <v>2451</v>
      </c>
      <c r="B515" s="8" t="s">
        <v>2451</v>
      </c>
      <c r="C515" s="8"/>
      <c r="D515" s="8" t="s">
        <v>1692</v>
      </c>
      <c r="E515" s="8" t="s">
        <v>2451</v>
      </c>
      <c r="F515" s="8" t="s">
        <v>2451</v>
      </c>
      <c r="G515" s="8" t="s">
        <v>2451</v>
      </c>
    </row>
    <row r="516" spans="1:7" outlineLevel="2" x14ac:dyDescent="0.35">
      <c r="A516" s="8" t="s">
        <v>2451</v>
      </c>
      <c r="B516" s="8" t="s">
        <v>2451</v>
      </c>
      <c r="C516" s="8"/>
      <c r="D516" s="8" t="s">
        <v>1693</v>
      </c>
      <c r="E516" s="8" t="s">
        <v>2451</v>
      </c>
      <c r="F516" s="8" t="s">
        <v>2451</v>
      </c>
      <c r="G516" s="8" t="s">
        <v>2451</v>
      </c>
    </row>
    <row r="517" spans="1:7" outlineLevel="2" x14ac:dyDescent="0.35">
      <c r="A517" s="8" t="s">
        <v>2451</v>
      </c>
      <c r="B517" s="8" t="s">
        <v>2451</v>
      </c>
      <c r="C517" s="8"/>
      <c r="D517" s="8" t="s">
        <v>1694</v>
      </c>
      <c r="E517" s="8" t="s">
        <v>2451</v>
      </c>
      <c r="F517" s="8" t="s">
        <v>2451</v>
      </c>
      <c r="G517" s="8" t="s">
        <v>2451</v>
      </c>
    </row>
    <row r="518" spans="1:7" outlineLevel="1" x14ac:dyDescent="0.35">
      <c r="A518" s="8" t="s">
        <v>343</v>
      </c>
      <c r="B518" s="8" t="s">
        <v>648</v>
      </c>
      <c r="C518" s="8">
        <v>3</v>
      </c>
      <c r="D518" s="8" t="s">
        <v>2451</v>
      </c>
      <c r="E518" s="8" t="s">
        <v>2451</v>
      </c>
      <c r="F518" s="8" t="s">
        <v>2451</v>
      </c>
      <c r="G518" s="8" t="s">
        <v>2451</v>
      </c>
    </row>
    <row r="519" spans="1:7" outlineLevel="2" x14ac:dyDescent="0.35">
      <c r="A519" s="8" t="s">
        <v>2451</v>
      </c>
      <c r="B519" s="8" t="s">
        <v>2451</v>
      </c>
      <c r="C519" s="8"/>
      <c r="D519" s="8" t="s">
        <v>1686</v>
      </c>
      <c r="E519" s="8" t="s">
        <v>2451</v>
      </c>
      <c r="F519" s="8" t="s">
        <v>2451</v>
      </c>
      <c r="G519" s="8" t="s">
        <v>2451</v>
      </c>
    </row>
    <row r="520" spans="1:7" outlineLevel="2" x14ac:dyDescent="0.35">
      <c r="A520" s="8" t="s">
        <v>2451</v>
      </c>
      <c r="B520" s="8" t="s">
        <v>2451</v>
      </c>
      <c r="C520" s="8"/>
      <c r="D520" s="8" t="s">
        <v>1687</v>
      </c>
      <c r="E520" s="8" t="s">
        <v>2451</v>
      </c>
      <c r="F520" s="8" t="s">
        <v>2451</v>
      </c>
      <c r="G520" s="8" t="s">
        <v>2451</v>
      </c>
    </row>
    <row r="521" spans="1:7" outlineLevel="2" x14ac:dyDescent="0.35">
      <c r="A521" s="8" t="s">
        <v>2451</v>
      </c>
      <c r="B521" s="8" t="s">
        <v>2451</v>
      </c>
      <c r="C521" s="8"/>
      <c r="D521" s="8" t="s">
        <v>1688</v>
      </c>
      <c r="E521" s="8" t="s">
        <v>2451</v>
      </c>
      <c r="F521" s="8" t="s">
        <v>2451</v>
      </c>
      <c r="G521" s="8" t="s">
        <v>2451</v>
      </c>
    </row>
    <row r="522" spans="1:7" outlineLevel="1" x14ac:dyDescent="0.35">
      <c r="A522" s="8" t="s">
        <v>526</v>
      </c>
      <c r="B522" s="8" t="s">
        <v>652</v>
      </c>
      <c r="C522" s="8">
        <v>8</v>
      </c>
      <c r="D522" s="8" t="s">
        <v>2451</v>
      </c>
      <c r="E522" s="8" t="s">
        <v>2451</v>
      </c>
      <c r="F522" s="8" t="s">
        <v>2451</v>
      </c>
      <c r="G522" s="8" t="s">
        <v>2451</v>
      </c>
    </row>
    <row r="523" spans="1:7" outlineLevel="2" x14ac:dyDescent="0.35">
      <c r="A523" s="8" t="s">
        <v>2451</v>
      </c>
      <c r="B523" s="8" t="s">
        <v>2451</v>
      </c>
      <c r="C523" s="8"/>
      <c r="D523" s="8" t="s">
        <v>1678</v>
      </c>
      <c r="E523" s="8" t="s">
        <v>2451</v>
      </c>
      <c r="F523" s="8" t="s">
        <v>2451</v>
      </c>
      <c r="G523" s="8" t="s">
        <v>2451</v>
      </c>
    </row>
    <row r="524" spans="1:7" outlineLevel="2" x14ac:dyDescent="0.35">
      <c r="A524" s="8" t="s">
        <v>2451</v>
      </c>
      <c r="B524" s="8" t="s">
        <v>2451</v>
      </c>
      <c r="C524" s="8"/>
      <c r="D524" s="8" t="s">
        <v>1679</v>
      </c>
      <c r="E524" s="8" t="s">
        <v>2451</v>
      </c>
      <c r="F524" s="8" t="s">
        <v>2451</v>
      </c>
      <c r="G524" s="8" t="s">
        <v>2451</v>
      </c>
    </row>
    <row r="525" spans="1:7" outlineLevel="2" x14ac:dyDescent="0.35">
      <c r="A525" s="8" t="s">
        <v>2451</v>
      </c>
      <c r="B525" s="8" t="s">
        <v>2451</v>
      </c>
      <c r="C525" s="8"/>
      <c r="D525" s="8" t="s">
        <v>1680</v>
      </c>
      <c r="E525" s="8" t="s">
        <v>2451</v>
      </c>
      <c r="F525" s="8" t="s">
        <v>2451</v>
      </c>
      <c r="G525" s="8" t="s">
        <v>2451</v>
      </c>
    </row>
    <row r="526" spans="1:7" outlineLevel="2" x14ac:dyDescent="0.35">
      <c r="A526" s="8" t="s">
        <v>2451</v>
      </c>
      <c r="B526" s="8" t="s">
        <v>2451</v>
      </c>
      <c r="C526" s="8"/>
      <c r="D526" s="8" t="s">
        <v>1681</v>
      </c>
      <c r="E526" s="8" t="s">
        <v>2451</v>
      </c>
      <c r="F526" s="8" t="s">
        <v>2451</v>
      </c>
      <c r="G526" s="8" t="s">
        <v>2451</v>
      </c>
    </row>
    <row r="527" spans="1:7" outlineLevel="2" x14ac:dyDescent="0.35">
      <c r="A527" s="8" t="s">
        <v>2451</v>
      </c>
      <c r="B527" s="8" t="s">
        <v>2451</v>
      </c>
      <c r="C527" s="8"/>
      <c r="D527" s="8" t="s">
        <v>1682</v>
      </c>
      <c r="E527" s="8" t="s">
        <v>2451</v>
      </c>
      <c r="F527" s="8" t="s">
        <v>2451</v>
      </c>
      <c r="G527" s="8" t="s">
        <v>2451</v>
      </c>
    </row>
    <row r="528" spans="1:7" outlineLevel="2" x14ac:dyDescent="0.35">
      <c r="A528" s="8" t="s">
        <v>2451</v>
      </c>
      <c r="B528" s="8" t="s">
        <v>2451</v>
      </c>
      <c r="C528" s="8"/>
      <c r="D528" s="8" t="s">
        <v>1683</v>
      </c>
      <c r="E528" s="8" t="s">
        <v>2451</v>
      </c>
      <c r="F528" s="8" t="s">
        <v>2451</v>
      </c>
      <c r="G528" s="8" t="s">
        <v>2451</v>
      </c>
    </row>
    <row r="529" spans="1:7" outlineLevel="2" x14ac:dyDescent="0.35">
      <c r="A529" s="8" t="s">
        <v>2451</v>
      </c>
      <c r="B529" s="8" t="s">
        <v>2451</v>
      </c>
      <c r="C529" s="8"/>
      <c r="D529" s="8" t="s">
        <v>1684</v>
      </c>
      <c r="E529" s="8" t="s">
        <v>2451</v>
      </c>
      <c r="F529" s="8" t="s">
        <v>2451</v>
      </c>
      <c r="G529" s="8" t="s">
        <v>2451</v>
      </c>
    </row>
    <row r="530" spans="1:7" outlineLevel="2" x14ac:dyDescent="0.35">
      <c r="A530" s="8" t="s">
        <v>2451</v>
      </c>
      <c r="B530" s="8" t="s">
        <v>2451</v>
      </c>
      <c r="C530" s="8"/>
      <c r="D530" s="8" t="s">
        <v>1685</v>
      </c>
      <c r="E530" s="8" t="s">
        <v>2451</v>
      </c>
      <c r="F530" s="8" t="s">
        <v>2451</v>
      </c>
      <c r="G530" s="8" t="s">
        <v>2451</v>
      </c>
    </row>
    <row r="531" spans="1:7" outlineLevel="1" x14ac:dyDescent="0.35">
      <c r="A531" s="8" t="s">
        <v>526</v>
      </c>
      <c r="B531" s="8" t="s">
        <v>655</v>
      </c>
      <c r="C531" s="8">
        <v>2</v>
      </c>
      <c r="D531" s="8" t="s">
        <v>2451</v>
      </c>
      <c r="E531" s="8" t="s">
        <v>2451</v>
      </c>
      <c r="F531" s="8" t="s">
        <v>2451</v>
      </c>
      <c r="G531" s="8" t="s">
        <v>2451</v>
      </c>
    </row>
    <row r="532" spans="1:7" outlineLevel="2" x14ac:dyDescent="0.35">
      <c r="A532" s="8" t="s">
        <v>2451</v>
      </c>
      <c r="B532" s="8" t="s">
        <v>2451</v>
      </c>
      <c r="C532" s="8"/>
      <c r="D532" s="8" t="s">
        <v>1676</v>
      </c>
      <c r="E532" s="8" t="s">
        <v>2451</v>
      </c>
      <c r="F532" s="8" t="s">
        <v>2451</v>
      </c>
      <c r="G532" s="8" t="s">
        <v>2451</v>
      </c>
    </row>
    <row r="533" spans="1:7" outlineLevel="2" x14ac:dyDescent="0.35">
      <c r="A533" s="8" t="s">
        <v>2451</v>
      </c>
      <c r="B533" s="8" t="s">
        <v>2451</v>
      </c>
      <c r="C533" s="8"/>
      <c r="D533" s="8" t="s">
        <v>1677</v>
      </c>
      <c r="E533" s="8" t="s">
        <v>2451</v>
      </c>
      <c r="F533" s="8" t="s">
        <v>2451</v>
      </c>
      <c r="G533" s="8" t="s">
        <v>2451</v>
      </c>
    </row>
    <row r="534" spans="1:7" outlineLevel="1" x14ac:dyDescent="0.35">
      <c r="A534" s="8" t="s">
        <v>526</v>
      </c>
      <c r="B534" s="8" t="s">
        <v>658</v>
      </c>
      <c r="C534" s="8">
        <v>6</v>
      </c>
      <c r="D534" s="8" t="s">
        <v>2451</v>
      </c>
      <c r="E534" s="8" t="s">
        <v>2451</v>
      </c>
      <c r="F534" s="8" t="s">
        <v>2451</v>
      </c>
      <c r="G534" s="8" t="s">
        <v>2451</v>
      </c>
    </row>
    <row r="535" spans="1:7" outlineLevel="2" x14ac:dyDescent="0.35">
      <c r="A535" s="8" t="s">
        <v>2451</v>
      </c>
      <c r="B535" s="8" t="s">
        <v>2451</v>
      </c>
      <c r="C535" s="8"/>
      <c r="D535" s="8" t="s">
        <v>1670</v>
      </c>
      <c r="E535" s="8" t="s">
        <v>2451</v>
      </c>
      <c r="F535" s="8" t="s">
        <v>2451</v>
      </c>
      <c r="G535" s="8" t="s">
        <v>2451</v>
      </c>
    </row>
    <row r="536" spans="1:7" outlineLevel="2" x14ac:dyDescent="0.35">
      <c r="A536" s="8" t="s">
        <v>2451</v>
      </c>
      <c r="B536" s="8" t="s">
        <v>2451</v>
      </c>
      <c r="C536" s="8"/>
      <c r="D536" s="8" t="s">
        <v>1671</v>
      </c>
      <c r="E536" s="8" t="s">
        <v>2451</v>
      </c>
      <c r="F536" s="8" t="s">
        <v>2451</v>
      </c>
      <c r="G536" s="8" t="s">
        <v>2451</v>
      </c>
    </row>
    <row r="537" spans="1:7" outlineLevel="2" x14ac:dyDescent="0.35">
      <c r="A537" s="8" t="s">
        <v>2451</v>
      </c>
      <c r="B537" s="8" t="s">
        <v>2451</v>
      </c>
      <c r="C537" s="8"/>
      <c r="D537" s="8" t="s">
        <v>1672</v>
      </c>
      <c r="E537" s="8" t="s">
        <v>2451</v>
      </c>
      <c r="F537" s="8" t="s">
        <v>2451</v>
      </c>
      <c r="G537" s="8" t="s">
        <v>2451</v>
      </c>
    </row>
    <row r="538" spans="1:7" outlineLevel="2" x14ac:dyDescent="0.35">
      <c r="A538" s="8" t="s">
        <v>2451</v>
      </c>
      <c r="B538" s="8" t="s">
        <v>2451</v>
      </c>
      <c r="C538" s="8"/>
      <c r="D538" s="8" t="s">
        <v>1673</v>
      </c>
      <c r="E538" s="8" t="s">
        <v>2451</v>
      </c>
      <c r="F538" s="8" t="s">
        <v>2451</v>
      </c>
      <c r="G538" s="8" t="s">
        <v>2451</v>
      </c>
    </row>
    <row r="539" spans="1:7" outlineLevel="2" x14ac:dyDescent="0.35">
      <c r="A539" s="8" t="s">
        <v>2451</v>
      </c>
      <c r="B539" s="8" t="s">
        <v>2451</v>
      </c>
      <c r="C539" s="8"/>
      <c r="D539" s="8" t="s">
        <v>1674</v>
      </c>
      <c r="E539" s="8" t="s">
        <v>2451</v>
      </c>
      <c r="F539" s="8" t="s">
        <v>2451</v>
      </c>
      <c r="G539" s="8" t="s">
        <v>2451</v>
      </c>
    </row>
    <row r="540" spans="1:7" outlineLevel="2" x14ac:dyDescent="0.35">
      <c r="A540" s="8" t="s">
        <v>2451</v>
      </c>
      <c r="B540" s="8" t="s">
        <v>2451</v>
      </c>
      <c r="C540" s="8"/>
      <c r="D540" s="8" t="s">
        <v>1675</v>
      </c>
      <c r="E540" s="8" t="s">
        <v>2451</v>
      </c>
      <c r="F540" s="8" t="s">
        <v>2451</v>
      </c>
      <c r="G540" s="8" t="s">
        <v>2451</v>
      </c>
    </row>
    <row r="541" spans="1:7" outlineLevel="1" x14ac:dyDescent="0.35">
      <c r="A541" s="8" t="s">
        <v>526</v>
      </c>
      <c r="B541" s="8" t="s">
        <v>661</v>
      </c>
      <c r="C541" s="8">
        <v>2</v>
      </c>
      <c r="D541" s="8" t="s">
        <v>2451</v>
      </c>
      <c r="E541" s="8" t="s">
        <v>2451</v>
      </c>
      <c r="F541" s="8" t="s">
        <v>2451</v>
      </c>
      <c r="G541" s="8" t="s">
        <v>2451</v>
      </c>
    </row>
    <row r="542" spans="1:7" outlineLevel="2" x14ac:dyDescent="0.35">
      <c r="A542" s="8" t="s">
        <v>2451</v>
      </c>
      <c r="B542" s="8" t="s">
        <v>2451</v>
      </c>
      <c r="C542" s="8"/>
      <c r="D542" s="8" t="s">
        <v>1668</v>
      </c>
      <c r="E542" s="8" t="s">
        <v>2451</v>
      </c>
      <c r="F542" s="8" t="s">
        <v>2451</v>
      </c>
      <c r="G542" s="8" t="s">
        <v>2451</v>
      </c>
    </row>
    <row r="543" spans="1:7" outlineLevel="2" x14ac:dyDescent="0.35">
      <c r="A543" s="8" t="s">
        <v>2451</v>
      </c>
      <c r="B543" s="8" t="s">
        <v>2451</v>
      </c>
      <c r="C543" s="8"/>
      <c r="D543" s="8" t="s">
        <v>1669</v>
      </c>
      <c r="E543" s="8" t="s">
        <v>2451</v>
      </c>
      <c r="F543" s="8" t="s">
        <v>2451</v>
      </c>
      <c r="G543" s="8" t="s">
        <v>2451</v>
      </c>
    </row>
    <row r="544" spans="1:7" outlineLevel="1" x14ac:dyDescent="0.35">
      <c r="A544" s="8" t="s">
        <v>526</v>
      </c>
      <c r="B544" s="8" t="s">
        <v>664</v>
      </c>
      <c r="C544" s="8">
        <v>2</v>
      </c>
      <c r="D544" s="8" t="s">
        <v>2451</v>
      </c>
      <c r="E544" s="8" t="s">
        <v>2451</v>
      </c>
      <c r="F544" s="8" t="s">
        <v>2451</v>
      </c>
      <c r="G544" s="8" t="s">
        <v>2451</v>
      </c>
    </row>
    <row r="545" spans="1:7" outlineLevel="2" x14ac:dyDescent="0.35">
      <c r="A545" s="8" t="s">
        <v>2451</v>
      </c>
      <c r="B545" s="8" t="s">
        <v>2451</v>
      </c>
      <c r="C545" s="8"/>
      <c r="D545" s="8" t="s">
        <v>1666</v>
      </c>
      <c r="E545" s="8" t="s">
        <v>2451</v>
      </c>
      <c r="F545" s="8" t="s">
        <v>2451</v>
      </c>
      <c r="G545" s="8" t="s">
        <v>2451</v>
      </c>
    </row>
    <row r="546" spans="1:7" outlineLevel="2" x14ac:dyDescent="0.35">
      <c r="A546" s="8" t="s">
        <v>2451</v>
      </c>
      <c r="B546" s="8" t="s">
        <v>2451</v>
      </c>
      <c r="C546" s="8"/>
      <c r="D546" s="8" t="s">
        <v>1667</v>
      </c>
      <c r="E546" s="8" t="s">
        <v>2451</v>
      </c>
      <c r="F546" s="8" t="s">
        <v>2451</v>
      </c>
      <c r="G546" s="8" t="s">
        <v>2451</v>
      </c>
    </row>
    <row r="547" spans="1:7" outlineLevel="1" x14ac:dyDescent="0.35">
      <c r="A547" s="8" t="s">
        <v>526</v>
      </c>
      <c r="B547" s="8" t="s">
        <v>667</v>
      </c>
      <c r="C547" s="8">
        <v>2</v>
      </c>
      <c r="D547" s="8" t="s">
        <v>2451</v>
      </c>
      <c r="E547" s="8" t="s">
        <v>2451</v>
      </c>
      <c r="F547" s="8" t="s">
        <v>2451</v>
      </c>
      <c r="G547" s="8" t="s">
        <v>2451</v>
      </c>
    </row>
    <row r="548" spans="1:7" outlineLevel="2" x14ac:dyDescent="0.35">
      <c r="A548" s="8" t="s">
        <v>2451</v>
      </c>
      <c r="B548" s="8" t="s">
        <v>2451</v>
      </c>
      <c r="C548" s="8"/>
      <c r="D548" s="8" t="s">
        <v>1664</v>
      </c>
      <c r="E548" s="8" t="s">
        <v>2451</v>
      </c>
      <c r="F548" s="8" t="s">
        <v>2451</v>
      </c>
      <c r="G548" s="8" t="s">
        <v>2451</v>
      </c>
    </row>
    <row r="549" spans="1:7" outlineLevel="2" x14ac:dyDescent="0.35">
      <c r="A549" s="8" t="s">
        <v>2451</v>
      </c>
      <c r="B549" s="8" t="s">
        <v>2451</v>
      </c>
      <c r="C549" s="8"/>
      <c r="D549" s="8" t="s">
        <v>1665</v>
      </c>
      <c r="E549" s="8" t="s">
        <v>2451</v>
      </c>
      <c r="F549" s="8" t="s">
        <v>2451</v>
      </c>
      <c r="G549" s="8" t="s">
        <v>2451</v>
      </c>
    </row>
    <row r="550" spans="1:7" outlineLevel="1" x14ac:dyDescent="0.35">
      <c r="A550" s="52" t="s">
        <v>2451</v>
      </c>
      <c r="B550" s="52" t="s">
        <v>2451</v>
      </c>
      <c r="C550" s="52"/>
      <c r="D550" s="52" t="s">
        <v>2451</v>
      </c>
      <c r="E550" s="52" t="s">
        <v>2451</v>
      </c>
      <c r="F550" s="52" t="s">
        <v>2451</v>
      </c>
      <c r="G550" s="52" t="s">
        <v>2451</v>
      </c>
    </row>
    <row r="551" spans="1:7" x14ac:dyDescent="0.35">
      <c r="A551" s="52" t="s">
        <v>2451</v>
      </c>
      <c r="B551" s="52" t="s">
        <v>2451</v>
      </c>
      <c r="C551" s="52"/>
      <c r="D551" s="52" t="s">
        <v>2451</v>
      </c>
      <c r="E551" s="52" t="s">
        <v>2451</v>
      </c>
      <c r="F551" s="52" t="s">
        <v>2451</v>
      </c>
      <c r="G551" s="52" t="s">
        <v>2451</v>
      </c>
    </row>
    <row r="552" spans="1:7" x14ac:dyDescent="0.35">
      <c r="A552" s="50" t="s">
        <v>365</v>
      </c>
      <c r="B552" s="47" t="s">
        <v>2451</v>
      </c>
      <c r="C552" s="47"/>
      <c r="D552" s="48" t="s">
        <v>2451</v>
      </c>
      <c r="E552" s="47" t="s">
        <v>2451</v>
      </c>
      <c r="F552" s="47" t="s">
        <v>2451</v>
      </c>
      <c r="G552" s="49" t="s">
        <v>2451</v>
      </c>
    </row>
    <row r="553" spans="1:7" outlineLevel="1" x14ac:dyDescent="0.35">
      <c r="A553" s="8" t="s">
        <v>156</v>
      </c>
      <c r="B553" s="8" t="s">
        <v>368</v>
      </c>
      <c r="C553" s="8">
        <v>1</v>
      </c>
      <c r="D553" s="8" t="s">
        <v>2451</v>
      </c>
      <c r="E553" s="8" t="s">
        <v>2451</v>
      </c>
      <c r="F553" s="8" t="s">
        <v>2451</v>
      </c>
      <c r="G553" s="8" t="s">
        <v>2451</v>
      </c>
    </row>
    <row r="554" spans="1:7" outlineLevel="1" x14ac:dyDescent="0.35">
      <c r="A554" s="8" t="s">
        <v>2451</v>
      </c>
      <c r="B554" s="8" t="s">
        <v>2451</v>
      </c>
      <c r="C554" s="8"/>
      <c r="D554" s="8" t="s">
        <v>2233</v>
      </c>
      <c r="E554" s="8" t="s">
        <v>2451</v>
      </c>
      <c r="F554" s="8" t="s">
        <v>2451</v>
      </c>
      <c r="G554" s="8" t="s">
        <v>2451</v>
      </c>
    </row>
    <row r="555" spans="1:7" outlineLevel="1" x14ac:dyDescent="0.35">
      <c r="A555" s="8" t="s">
        <v>39</v>
      </c>
      <c r="B555" s="8" t="s">
        <v>368</v>
      </c>
      <c r="C555" s="8">
        <v>1</v>
      </c>
      <c r="D555" s="8" t="s">
        <v>2451</v>
      </c>
      <c r="E555" s="8" t="s">
        <v>2451</v>
      </c>
      <c r="F555" s="8" t="s">
        <v>2451</v>
      </c>
      <c r="G555" s="8" t="s">
        <v>2451</v>
      </c>
    </row>
    <row r="556" spans="1:7" outlineLevel="1" x14ac:dyDescent="0.35">
      <c r="A556" s="8" t="s">
        <v>2451</v>
      </c>
      <c r="B556" s="8" t="s">
        <v>2451</v>
      </c>
      <c r="C556" s="8"/>
      <c r="D556" s="8" t="s">
        <v>2233</v>
      </c>
      <c r="E556" s="8" t="s">
        <v>2451</v>
      </c>
      <c r="F556" s="8" t="s">
        <v>2451</v>
      </c>
      <c r="G556" s="8" t="s">
        <v>2451</v>
      </c>
    </row>
    <row r="557" spans="1:7" outlineLevel="1" x14ac:dyDescent="0.35">
      <c r="A557" s="8" t="s">
        <v>39</v>
      </c>
      <c r="B557" s="8" t="s">
        <v>377</v>
      </c>
      <c r="C557" s="8">
        <v>1</v>
      </c>
      <c r="D557" s="8" t="s">
        <v>2451</v>
      </c>
      <c r="E557" s="8" t="s">
        <v>2451</v>
      </c>
      <c r="F557" s="8" t="s">
        <v>2451</v>
      </c>
      <c r="G557" s="8" t="s">
        <v>2451</v>
      </c>
    </row>
    <row r="558" spans="1:7" outlineLevel="1" x14ac:dyDescent="0.35">
      <c r="A558" s="8" t="s">
        <v>2451</v>
      </c>
      <c r="B558" s="8" t="s">
        <v>2451</v>
      </c>
      <c r="C558" s="8"/>
      <c r="D558" s="8" t="s">
        <v>2232</v>
      </c>
      <c r="E558" s="8" t="s">
        <v>2451</v>
      </c>
      <c r="F558" s="8" t="s">
        <v>2451</v>
      </c>
      <c r="G558" s="8" t="s">
        <v>2451</v>
      </c>
    </row>
    <row r="559" spans="1:7" outlineLevel="1" x14ac:dyDescent="0.35">
      <c r="A559" s="8" t="s">
        <v>39</v>
      </c>
      <c r="B559" s="8" t="s">
        <v>383</v>
      </c>
      <c r="C559" s="8">
        <v>1</v>
      </c>
      <c r="D559" s="8" t="s">
        <v>2451</v>
      </c>
      <c r="E559" s="8" t="s">
        <v>2451</v>
      </c>
      <c r="F559" s="8" t="s">
        <v>2451</v>
      </c>
      <c r="G559" s="8" t="s">
        <v>2451</v>
      </c>
    </row>
    <row r="560" spans="1:7" outlineLevel="1" x14ac:dyDescent="0.35">
      <c r="A560" s="8" t="s">
        <v>2451</v>
      </c>
      <c r="B560" s="8" t="s">
        <v>2451</v>
      </c>
      <c r="C560" s="8"/>
      <c r="D560" s="8" t="s">
        <v>2231</v>
      </c>
      <c r="E560" s="8" t="s">
        <v>2451</v>
      </c>
      <c r="F560" s="8" t="s">
        <v>2451</v>
      </c>
      <c r="G560" s="8" t="s">
        <v>2451</v>
      </c>
    </row>
    <row r="561" spans="1:7" outlineLevel="1" x14ac:dyDescent="0.35">
      <c r="A561" s="8" t="s">
        <v>156</v>
      </c>
      <c r="B561" s="8" t="s">
        <v>389</v>
      </c>
      <c r="C561" s="8">
        <v>3</v>
      </c>
      <c r="D561" s="8" t="s">
        <v>2451</v>
      </c>
      <c r="E561" s="8" t="s">
        <v>2451</v>
      </c>
      <c r="F561" s="8" t="s">
        <v>2451</v>
      </c>
      <c r="G561" s="8" t="s">
        <v>2451</v>
      </c>
    </row>
    <row r="562" spans="1:7" outlineLevel="2" x14ac:dyDescent="0.35">
      <c r="A562" s="8" t="s">
        <v>2451</v>
      </c>
      <c r="B562" s="8" t="s">
        <v>2451</v>
      </c>
      <c r="C562" s="8"/>
      <c r="D562" s="8" t="s">
        <v>2228</v>
      </c>
      <c r="E562" s="8" t="s">
        <v>2451</v>
      </c>
      <c r="F562" s="8" t="s">
        <v>2451</v>
      </c>
      <c r="G562" s="8" t="s">
        <v>2451</v>
      </c>
    </row>
    <row r="563" spans="1:7" outlineLevel="2" x14ac:dyDescent="0.35">
      <c r="A563" s="8" t="s">
        <v>2451</v>
      </c>
      <c r="B563" s="8" t="s">
        <v>2451</v>
      </c>
      <c r="C563" s="8"/>
      <c r="D563" s="8" t="s">
        <v>2229</v>
      </c>
      <c r="E563" s="8" t="s">
        <v>2451</v>
      </c>
      <c r="F563" s="8" t="s">
        <v>2451</v>
      </c>
      <c r="G563" s="8" t="s">
        <v>2451</v>
      </c>
    </row>
    <row r="564" spans="1:7" outlineLevel="2" x14ac:dyDescent="0.35">
      <c r="A564" s="8" t="s">
        <v>2451</v>
      </c>
      <c r="B564" s="8" t="s">
        <v>2451</v>
      </c>
      <c r="C564" s="8"/>
      <c r="D564" s="8" t="s">
        <v>2230</v>
      </c>
      <c r="E564" s="8" t="s">
        <v>2451</v>
      </c>
      <c r="F564" s="8" t="s">
        <v>2451</v>
      </c>
      <c r="G564" s="8" t="s">
        <v>2451</v>
      </c>
    </row>
    <row r="565" spans="1:7" outlineLevel="1" x14ac:dyDescent="0.35">
      <c r="A565" s="8" t="s">
        <v>156</v>
      </c>
      <c r="B565" s="8" t="s">
        <v>395</v>
      </c>
      <c r="C565" s="8">
        <v>3</v>
      </c>
      <c r="D565" s="8" t="s">
        <v>2451</v>
      </c>
      <c r="E565" s="8" t="s">
        <v>2451</v>
      </c>
      <c r="F565" s="8" t="s">
        <v>2451</v>
      </c>
      <c r="G565" s="8" t="s">
        <v>2451</v>
      </c>
    </row>
    <row r="566" spans="1:7" outlineLevel="2" x14ac:dyDescent="0.35">
      <c r="A566" s="8" t="s">
        <v>2451</v>
      </c>
      <c r="B566" s="8" t="s">
        <v>2451</v>
      </c>
      <c r="C566" s="8"/>
      <c r="D566" s="8" t="s">
        <v>2225</v>
      </c>
      <c r="E566" s="8" t="s">
        <v>2451</v>
      </c>
      <c r="F566" s="8" t="s">
        <v>2451</v>
      </c>
      <c r="G566" s="8" t="s">
        <v>2451</v>
      </c>
    </row>
    <row r="567" spans="1:7" outlineLevel="2" x14ac:dyDescent="0.35">
      <c r="A567" s="8" t="s">
        <v>2451</v>
      </c>
      <c r="B567" s="8" t="s">
        <v>2451</v>
      </c>
      <c r="C567" s="8"/>
      <c r="D567" s="8" t="s">
        <v>2226</v>
      </c>
      <c r="E567" s="8" t="s">
        <v>2451</v>
      </c>
      <c r="F567" s="8" t="s">
        <v>2451</v>
      </c>
      <c r="G567" s="8" t="s">
        <v>2451</v>
      </c>
    </row>
    <row r="568" spans="1:7" outlineLevel="2" x14ac:dyDescent="0.35">
      <c r="A568" s="8" t="s">
        <v>2451</v>
      </c>
      <c r="B568" s="8" t="s">
        <v>2451</v>
      </c>
      <c r="C568" s="8"/>
      <c r="D568" s="8" t="s">
        <v>2227</v>
      </c>
      <c r="E568" s="8" t="s">
        <v>2451</v>
      </c>
      <c r="F568" s="8" t="s">
        <v>2451</v>
      </c>
      <c r="G568" s="8" t="s">
        <v>2451</v>
      </c>
    </row>
    <row r="569" spans="1:7" outlineLevel="1" x14ac:dyDescent="0.35">
      <c r="A569" s="8" t="s">
        <v>42</v>
      </c>
      <c r="B569" s="8" t="s">
        <v>399</v>
      </c>
      <c r="C569" s="8">
        <v>1</v>
      </c>
      <c r="D569" s="8" t="s">
        <v>2451</v>
      </c>
      <c r="E569" s="8" t="s">
        <v>2451</v>
      </c>
      <c r="F569" s="8" t="s">
        <v>2451</v>
      </c>
      <c r="G569" s="8" t="s">
        <v>2451</v>
      </c>
    </row>
    <row r="570" spans="1:7" outlineLevel="1" x14ac:dyDescent="0.35">
      <c r="A570" s="8" t="s">
        <v>2451</v>
      </c>
      <c r="B570" s="8" t="s">
        <v>2451</v>
      </c>
      <c r="C570" s="8"/>
      <c r="D570" s="8" t="s">
        <v>2224</v>
      </c>
      <c r="E570" s="8" t="s">
        <v>2451</v>
      </c>
      <c r="F570" s="8" t="s">
        <v>2451</v>
      </c>
      <c r="G570" s="8" t="s">
        <v>2451</v>
      </c>
    </row>
    <row r="571" spans="1:7" outlineLevel="1" x14ac:dyDescent="0.35">
      <c r="A571" s="8" t="s">
        <v>42</v>
      </c>
      <c r="B571" s="8" t="s">
        <v>403</v>
      </c>
      <c r="C571" s="8">
        <v>1</v>
      </c>
      <c r="D571" s="8" t="s">
        <v>2451</v>
      </c>
      <c r="E571" s="8" t="s">
        <v>2451</v>
      </c>
      <c r="F571" s="8" t="s">
        <v>2451</v>
      </c>
      <c r="G571" s="8" t="s">
        <v>2451</v>
      </c>
    </row>
    <row r="572" spans="1:7" outlineLevel="1" x14ac:dyDescent="0.35">
      <c r="A572" s="8" t="s">
        <v>2451</v>
      </c>
      <c r="B572" s="8" t="s">
        <v>2451</v>
      </c>
      <c r="C572" s="8"/>
      <c r="D572" s="8" t="s">
        <v>2223</v>
      </c>
      <c r="E572" s="8" t="s">
        <v>2451</v>
      </c>
      <c r="F572" s="8" t="s">
        <v>2451</v>
      </c>
      <c r="G572" s="8" t="s">
        <v>2451</v>
      </c>
    </row>
    <row r="573" spans="1:7" outlineLevel="1" x14ac:dyDescent="0.35">
      <c r="A573" s="8" t="s">
        <v>49</v>
      </c>
      <c r="B573" s="8" t="s">
        <v>408</v>
      </c>
      <c r="C573" s="8">
        <v>1</v>
      </c>
      <c r="D573" s="8" t="s">
        <v>2451</v>
      </c>
      <c r="E573" s="8" t="s">
        <v>2451</v>
      </c>
      <c r="F573" s="8" t="s">
        <v>2451</v>
      </c>
      <c r="G573" s="8" t="s">
        <v>2451</v>
      </c>
    </row>
    <row r="574" spans="1:7" outlineLevel="1" x14ac:dyDescent="0.35">
      <c r="A574" s="8" t="s">
        <v>2451</v>
      </c>
      <c r="B574" s="8" t="s">
        <v>2451</v>
      </c>
      <c r="C574" s="8"/>
      <c r="D574" s="8" t="s">
        <v>2222</v>
      </c>
      <c r="E574" s="8" t="s">
        <v>2451</v>
      </c>
      <c r="F574" s="8" t="s">
        <v>2451</v>
      </c>
      <c r="G574" s="8" t="s">
        <v>2451</v>
      </c>
    </row>
    <row r="575" spans="1:7" outlineLevel="1" x14ac:dyDescent="0.35">
      <c r="A575" s="8" t="s">
        <v>49</v>
      </c>
      <c r="B575" s="8" t="s">
        <v>411</v>
      </c>
      <c r="C575" s="8">
        <v>1</v>
      </c>
      <c r="D575" s="8" t="s">
        <v>2451</v>
      </c>
      <c r="E575" s="8" t="s">
        <v>2451</v>
      </c>
      <c r="F575" s="8" t="s">
        <v>2451</v>
      </c>
      <c r="G575" s="8" t="s">
        <v>2451</v>
      </c>
    </row>
    <row r="576" spans="1:7" outlineLevel="1" x14ac:dyDescent="0.35">
      <c r="A576" s="8" t="s">
        <v>2451</v>
      </c>
      <c r="B576" s="8" t="s">
        <v>2451</v>
      </c>
      <c r="C576" s="8"/>
      <c r="D576" s="8" t="s">
        <v>2221</v>
      </c>
      <c r="E576" s="8" t="s">
        <v>2451</v>
      </c>
      <c r="F576" s="8" t="s">
        <v>2451</v>
      </c>
      <c r="G576" s="8" t="s">
        <v>2451</v>
      </c>
    </row>
    <row r="577" spans="1:7" outlineLevel="1" x14ac:dyDescent="0.35">
      <c r="A577" s="8" t="s">
        <v>49</v>
      </c>
      <c r="B577" s="8" t="s">
        <v>416</v>
      </c>
      <c r="C577" s="8">
        <v>2</v>
      </c>
      <c r="D577" s="8" t="s">
        <v>2451</v>
      </c>
      <c r="E577" s="8" t="s">
        <v>2451</v>
      </c>
      <c r="F577" s="8" t="s">
        <v>2451</v>
      </c>
      <c r="G577" s="8" t="s">
        <v>2451</v>
      </c>
    </row>
    <row r="578" spans="1:7" outlineLevel="2" x14ac:dyDescent="0.35">
      <c r="A578" s="8" t="s">
        <v>2451</v>
      </c>
      <c r="B578" s="8" t="s">
        <v>2451</v>
      </c>
      <c r="C578" s="8"/>
      <c r="D578" s="8" t="s">
        <v>2219</v>
      </c>
      <c r="E578" s="8" t="s">
        <v>2451</v>
      </c>
      <c r="F578" s="8" t="s">
        <v>2451</v>
      </c>
      <c r="G578" s="8" t="s">
        <v>2451</v>
      </c>
    </row>
    <row r="579" spans="1:7" outlineLevel="2" x14ac:dyDescent="0.35">
      <c r="A579" s="8" t="s">
        <v>2451</v>
      </c>
      <c r="B579" s="8" t="s">
        <v>2451</v>
      </c>
      <c r="C579" s="8"/>
      <c r="D579" s="8" t="s">
        <v>2220</v>
      </c>
      <c r="E579" s="8" t="s">
        <v>2451</v>
      </c>
      <c r="F579" s="8" t="s">
        <v>2451</v>
      </c>
      <c r="G579" s="8" t="s">
        <v>2451</v>
      </c>
    </row>
    <row r="580" spans="1:7" outlineLevel="1" x14ac:dyDescent="0.35">
      <c r="A580" s="8" t="s">
        <v>55</v>
      </c>
      <c r="B580" s="8" t="s">
        <v>421</v>
      </c>
      <c r="C580" s="8">
        <v>1</v>
      </c>
      <c r="D580" s="8" t="s">
        <v>2451</v>
      </c>
      <c r="E580" s="8" t="s">
        <v>2451</v>
      </c>
      <c r="F580" s="8" t="s">
        <v>2451</v>
      </c>
      <c r="G580" s="8" t="s">
        <v>2451</v>
      </c>
    </row>
    <row r="581" spans="1:7" outlineLevel="1" x14ac:dyDescent="0.35">
      <c r="A581" s="8" t="s">
        <v>2451</v>
      </c>
      <c r="B581" s="8" t="s">
        <v>2451</v>
      </c>
      <c r="C581" s="8"/>
      <c r="D581" s="8" t="s">
        <v>2218</v>
      </c>
      <c r="E581" s="8" t="s">
        <v>2451</v>
      </c>
      <c r="F581" s="8" t="s">
        <v>2451</v>
      </c>
      <c r="G581" s="8" t="s">
        <v>2451</v>
      </c>
    </row>
    <row r="582" spans="1:7" outlineLevel="1" x14ac:dyDescent="0.35">
      <c r="A582" s="8" t="s">
        <v>55</v>
      </c>
      <c r="B582" s="8" t="s">
        <v>426</v>
      </c>
      <c r="C582" s="8">
        <v>1</v>
      </c>
      <c r="D582" s="8" t="s">
        <v>2451</v>
      </c>
      <c r="E582" s="8" t="s">
        <v>2451</v>
      </c>
      <c r="F582" s="8" t="s">
        <v>2451</v>
      </c>
      <c r="G582" s="8" t="s">
        <v>2451</v>
      </c>
    </row>
    <row r="583" spans="1:7" outlineLevel="1" x14ac:dyDescent="0.35">
      <c r="A583" s="8" t="s">
        <v>2451</v>
      </c>
      <c r="B583" s="8" t="s">
        <v>2451</v>
      </c>
      <c r="C583" s="8"/>
      <c r="D583" s="8" t="s">
        <v>2217</v>
      </c>
      <c r="E583" s="8" t="s">
        <v>2451</v>
      </c>
      <c r="F583" s="8" t="s">
        <v>2451</v>
      </c>
      <c r="G583" s="8" t="s">
        <v>2451</v>
      </c>
    </row>
    <row r="584" spans="1:7" outlineLevel="1" x14ac:dyDescent="0.35">
      <c r="A584" s="8" t="s">
        <v>55</v>
      </c>
      <c r="B584" s="8" t="s">
        <v>430</v>
      </c>
      <c r="C584" s="8">
        <v>3</v>
      </c>
      <c r="D584" s="8" t="s">
        <v>2451</v>
      </c>
      <c r="E584" s="8" t="s">
        <v>2451</v>
      </c>
      <c r="F584" s="8" t="s">
        <v>2451</v>
      </c>
      <c r="G584" s="8" t="s">
        <v>2451</v>
      </c>
    </row>
    <row r="585" spans="1:7" outlineLevel="2" x14ac:dyDescent="0.35">
      <c r="A585" s="8" t="s">
        <v>2451</v>
      </c>
      <c r="B585" s="8" t="s">
        <v>2451</v>
      </c>
      <c r="C585" s="8"/>
      <c r="D585" s="8" t="s">
        <v>2214</v>
      </c>
      <c r="E585" s="8" t="s">
        <v>2451</v>
      </c>
      <c r="F585" s="8" t="s">
        <v>2451</v>
      </c>
      <c r="G585" s="8" t="s">
        <v>2451</v>
      </c>
    </row>
    <row r="586" spans="1:7" outlineLevel="2" x14ac:dyDescent="0.35">
      <c r="A586" s="8" t="s">
        <v>2451</v>
      </c>
      <c r="B586" s="8" t="s">
        <v>2451</v>
      </c>
      <c r="C586" s="8"/>
      <c r="D586" s="8" t="s">
        <v>2215</v>
      </c>
      <c r="E586" s="8" t="s">
        <v>2451</v>
      </c>
      <c r="F586" s="8" t="s">
        <v>2451</v>
      </c>
      <c r="G586" s="8" t="s">
        <v>2451</v>
      </c>
    </row>
    <row r="587" spans="1:7" outlineLevel="2" x14ac:dyDescent="0.35">
      <c r="A587" s="8" t="s">
        <v>2451</v>
      </c>
      <c r="B587" s="8" t="s">
        <v>2451</v>
      </c>
      <c r="C587" s="8"/>
      <c r="D587" s="8" t="s">
        <v>2216</v>
      </c>
      <c r="E587" s="8" t="s">
        <v>2451</v>
      </c>
      <c r="F587" s="8" t="s">
        <v>2451</v>
      </c>
      <c r="G587" s="8" t="s">
        <v>2451</v>
      </c>
    </row>
    <row r="588" spans="1:7" outlineLevel="1" x14ac:dyDescent="0.35">
      <c r="A588" s="8" t="s">
        <v>55</v>
      </c>
      <c r="B588" s="8" t="s">
        <v>435</v>
      </c>
      <c r="C588" s="8">
        <v>1</v>
      </c>
      <c r="D588" s="8" t="s">
        <v>2451</v>
      </c>
      <c r="E588" s="8" t="s">
        <v>2451</v>
      </c>
      <c r="F588" s="8" t="s">
        <v>2451</v>
      </c>
      <c r="G588" s="8" t="s">
        <v>2451</v>
      </c>
    </row>
    <row r="589" spans="1:7" outlineLevel="1" x14ac:dyDescent="0.35">
      <c r="A589" s="8" t="s">
        <v>2451</v>
      </c>
      <c r="B589" s="8" t="s">
        <v>2451</v>
      </c>
      <c r="C589" s="8"/>
      <c r="D589" s="8" t="s">
        <v>2213</v>
      </c>
      <c r="E589" s="8" t="s">
        <v>2451</v>
      </c>
      <c r="F589" s="8" t="s">
        <v>2451</v>
      </c>
      <c r="G589" s="8" t="s">
        <v>2451</v>
      </c>
    </row>
    <row r="590" spans="1:7" outlineLevel="1" x14ac:dyDescent="0.35">
      <c r="A590" s="8" t="s">
        <v>55</v>
      </c>
      <c r="B590" s="8" t="s">
        <v>438</v>
      </c>
      <c r="C590" s="8">
        <v>4</v>
      </c>
      <c r="D590" s="8" t="s">
        <v>2451</v>
      </c>
      <c r="E590" s="8" t="s">
        <v>2451</v>
      </c>
      <c r="F590" s="8" t="s">
        <v>2451</v>
      </c>
      <c r="G590" s="8" t="s">
        <v>2451</v>
      </c>
    </row>
    <row r="591" spans="1:7" outlineLevel="2" x14ac:dyDescent="0.35">
      <c r="A591" s="8" t="s">
        <v>2451</v>
      </c>
      <c r="B591" s="8" t="s">
        <v>2451</v>
      </c>
      <c r="C591" s="8"/>
      <c r="D591" s="8" t="s">
        <v>2209</v>
      </c>
      <c r="E591" s="8" t="s">
        <v>2451</v>
      </c>
      <c r="F591" s="8" t="s">
        <v>2451</v>
      </c>
      <c r="G591" s="8" t="s">
        <v>2451</v>
      </c>
    </row>
    <row r="592" spans="1:7" outlineLevel="2" x14ac:dyDescent="0.35">
      <c r="A592" s="8" t="s">
        <v>2451</v>
      </c>
      <c r="B592" s="8" t="s">
        <v>2451</v>
      </c>
      <c r="C592" s="8"/>
      <c r="D592" s="8" t="s">
        <v>2210</v>
      </c>
      <c r="E592" s="8" t="s">
        <v>2451</v>
      </c>
      <c r="F592" s="8" t="s">
        <v>2451</v>
      </c>
      <c r="G592" s="8" t="s">
        <v>2451</v>
      </c>
    </row>
    <row r="593" spans="1:7" outlineLevel="2" x14ac:dyDescent="0.35">
      <c r="A593" s="8" t="s">
        <v>2451</v>
      </c>
      <c r="B593" s="8" t="s">
        <v>2451</v>
      </c>
      <c r="C593" s="8"/>
      <c r="D593" s="8" t="s">
        <v>2211</v>
      </c>
      <c r="E593" s="8" t="s">
        <v>2451</v>
      </c>
      <c r="F593" s="8" t="s">
        <v>2451</v>
      </c>
      <c r="G593" s="8" t="s">
        <v>2451</v>
      </c>
    </row>
    <row r="594" spans="1:7" outlineLevel="2" x14ac:dyDescent="0.35">
      <c r="A594" s="8" t="s">
        <v>2451</v>
      </c>
      <c r="B594" s="8" t="s">
        <v>2451</v>
      </c>
      <c r="C594" s="8"/>
      <c r="D594" s="8" t="s">
        <v>2212</v>
      </c>
      <c r="E594" s="8" t="s">
        <v>2451</v>
      </c>
      <c r="F594" s="8" t="s">
        <v>2451</v>
      </c>
      <c r="G594" s="8" t="s">
        <v>2451</v>
      </c>
    </row>
    <row r="595" spans="1:7" outlineLevel="1" x14ac:dyDescent="0.35">
      <c r="A595" s="8" t="s">
        <v>55</v>
      </c>
      <c r="B595" s="8" t="s">
        <v>441</v>
      </c>
      <c r="C595" s="8">
        <v>1</v>
      </c>
      <c r="D595" s="8" t="s">
        <v>2451</v>
      </c>
      <c r="E595" s="8" t="s">
        <v>2451</v>
      </c>
      <c r="F595" s="8" t="s">
        <v>2451</v>
      </c>
      <c r="G595" s="8" t="s">
        <v>2451</v>
      </c>
    </row>
    <row r="596" spans="1:7" outlineLevel="1" x14ac:dyDescent="0.35">
      <c r="A596" s="8" t="s">
        <v>2451</v>
      </c>
      <c r="B596" s="8" t="s">
        <v>2451</v>
      </c>
      <c r="C596" s="8"/>
      <c r="D596" s="8" t="s">
        <v>2208</v>
      </c>
      <c r="E596" s="8" t="s">
        <v>2451</v>
      </c>
      <c r="F596" s="8" t="s">
        <v>2451</v>
      </c>
      <c r="G596" s="8" t="s">
        <v>2451</v>
      </c>
    </row>
    <row r="597" spans="1:7" outlineLevel="1" x14ac:dyDescent="0.35">
      <c r="A597" s="8" t="s">
        <v>55</v>
      </c>
      <c r="B597" s="8" t="s">
        <v>445</v>
      </c>
      <c r="C597" s="8">
        <v>4</v>
      </c>
      <c r="D597" s="8" t="s">
        <v>2451</v>
      </c>
      <c r="E597" s="8" t="s">
        <v>2451</v>
      </c>
      <c r="F597" s="8" t="s">
        <v>2451</v>
      </c>
      <c r="G597" s="8" t="s">
        <v>2451</v>
      </c>
    </row>
    <row r="598" spans="1:7" outlineLevel="2" x14ac:dyDescent="0.35">
      <c r="A598" s="8" t="s">
        <v>2451</v>
      </c>
      <c r="B598" s="8" t="s">
        <v>2451</v>
      </c>
      <c r="C598" s="8"/>
      <c r="D598" s="8" t="s">
        <v>2204</v>
      </c>
      <c r="E598" s="8" t="s">
        <v>2451</v>
      </c>
      <c r="F598" s="8" t="s">
        <v>2451</v>
      </c>
      <c r="G598" s="8" t="s">
        <v>2451</v>
      </c>
    </row>
    <row r="599" spans="1:7" outlineLevel="2" x14ac:dyDescent="0.35">
      <c r="A599" s="8" t="s">
        <v>2451</v>
      </c>
      <c r="B599" s="8" t="s">
        <v>2451</v>
      </c>
      <c r="C599" s="8"/>
      <c r="D599" s="8" t="s">
        <v>2205</v>
      </c>
      <c r="E599" s="8" t="s">
        <v>2451</v>
      </c>
      <c r="F599" s="8" t="s">
        <v>2451</v>
      </c>
      <c r="G599" s="8" t="s">
        <v>2451</v>
      </c>
    </row>
    <row r="600" spans="1:7" outlineLevel="2" x14ac:dyDescent="0.35">
      <c r="A600" s="8" t="s">
        <v>2451</v>
      </c>
      <c r="B600" s="8" t="s">
        <v>2451</v>
      </c>
      <c r="C600" s="8"/>
      <c r="D600" s="8" t="s">
        <v>2206</v>
      </c>
      <c r="E600" s="8" t="s">
        <v>2451</v>
      </c>
      <c r="F600" s="8" t="s">
        <v>2451</v>
      </c>
      <c r="G600" s="8" t="s">
        <v>2451</v>
      </c>
    </row>
    <row r="601" spans="1:7" outlineLevel="2" x14ac:dyDescent="0.35">
      <c r="A601" s="8" t="s">
        <v>2451</v>
      </c>
      <c r="B601" s="8" t="s">
        <v>2451</v>
      </c>
      <c r="C601" s="8"/>
      <c r="D601" s="8" t="s">
        <v>2207</v>
      </c>
      <c r="E601" s="8" t="s">
        <v>2451</v>
      </c>
      <c r="F601" s="8" t="s">
        <v>2451</v>
      </c>
      <c r="G601" s="8" t="s">
        <v>2451</v>
      </c>
    </row>
    <row r="602" spans="1:7" outlineLevel="1" x14ac:dyDescent="0.35">
      <c r="A602" s="8" t="s">
        <v>55</v>
      </c>
      <c r="B602" s="8" t="s">
        <v>449</v>
      </c>
      <c r="C602" s="8">
        <v>3</v>
      </c>
      <c r="D602" s="8" t="s">
        <v>2451</v>
      </c>
      <c r="E602" s="8" t="s">
        <v>2451</v>
      </c>
      <c r="F602" s="8" t="s">
        <v>2451</v>
      </c>
      <c r="G602" s="8" t="s">
        <v>2451</v>
      </c>
    </row>
    <row r="603" spans="1:7" outlineLevel="2" x14ac:dyDescent="0.35">
      <c r="A603" s="8" t="s">
        <v>2451</v>
      </c>
      <c r="B603" s="8" t="s">
        <v>2451</v>
      </c>
      <c r="C603" s="8"/>
      <c r="D603" s="8" t="s">
        <v>2201</v>
      </c>
      <c r="E603" s="8" t="s">
        <v>2451</v>
      </c>
      <c r="F603" s="8" t="s">
        <v>2451</v>
      </c>
      <c r="G603" s="8" t="s">
        <v>2451</v>
      </c>
    </row>
    <row r="604" spans="1:7" outlineLevel="2" x14ac:dyDescent="0.35">
      <c r="A604" s="8" t="s">
        <v>2451</v>
      </c>
      <c r="B604" s="8" t="s">
        <v>2451</v>
      </c>
      <c r="C604" s="8"/>
      <c r="D604" s="8" t="s">
        <v>2202</v>
      </c>
      <c r="E604" s="8" t="s">
        <v>2451</v>
      </c>
      <c r="F604" s="8" t="s">
        <v>2451</v>
      </c>
      <c r="G604" s="8" t="s">
        <v>2451</v>
      </c>
    </row>
    <row r="605" spans="1:7" outlineLevel="2" x14ac:dyDescent="0.35">
      <c r="A605" s="8" t="s">
        <v>2451</v>
      </c>
      <c r="B605" s="8" t="s">
        <v>2451</v>
      </c>
      <c r="C605" s="8"/>
      <c r="D605" s="8" t="s">
        <v>2203</v>
      </c>
      <c r="E605" s="8" t="s">
        <v>2451</v>
      </c>
      <c r="F605" s="8" t="s">
        <v>2451</v>
      </c>
      <c r="G605" s="8" t="s">
        <v>2451</v>
      </c>
    </row>
    <row r="606" spans="1:7" outlineLevel="1" x14ac:dyDescent="0.35">
      <c r="A606" s="8" t="s">
        <v>86</v>
      </c>
      <c r="B606" s="8" t="s">
        <v>453</v>
      </c>
      <c r="C606" s="8">
        <v>5</v>
      </c>
      <c r="D606" s="8" t="s">
        <v>2451</v>
      </c>
      <c r="E606" s="8" t="s">
        <v>2451</v>
      </c>
      <c r="F606" s="8" t="s">
        <v>2451</v>
      </c>
      <c r="G606" s="8" t="s">
        <v>2451</v>
      </c>
    </row>
    <row r="607" spans="1:7" outlineLevel="2" x14ac:dyDescent="0.35">
      <c r="A607" s="8" t="s">
        <v>2451</v>
      </c>
      <c r="B607" s="8" t="s">
        <v>2451</v>
      </c>
      <c r="C607" s="8"/>
      <c r="D607" s="8" t="s">
        <v>2196</v>
      </c>
      <c r="E607" s="8" t="s">
        <v>2451</v>
      </c>
      <c r="F607" s="8" t="s">
        <v>2451</v>
      </c>
      <c r="G607" s="8" t="s">
        <v>2451</v>
      </c>
    </row>
    <row r="608" spans="1:7" outlineLevel="2" x14ac:dyDescent="0.35">
      <c r="A608" s="8" t="s">
        <v>2451</v>
      </c>
      <c r="B608" s="8" t="s">
        <v>2451</v>
      </c>
      <c r="C608" s="8"/>
      <c r="D608" s="8" t="s">
        <v>2197</v>
      </c>
      <c r="E608" s="8" t="s">
        <v>2451</v>
      </c>
      <c r="F608" s="8" t="s">
        <v>2451</v>
      </c>
      <c r="G608" s="8" t="s">
        <v>2451</v>
      </c>
    </row>
    <row r="609" spans="1:7" outlineLevel="2" x14ac:dyDescent="0.35">
      <c r="A609" s="8" t="s">
        <v>2451</v>
      </c>
      <c r="B609" s="8" t="s">
        <v>2451</v>
      </c>
      <c r="C609" s="8"/>
      <c r="D609" s="8" t="s">
        <v>2198</v>
      </c>
      <c r="E609" s="8" t="s">
        <v>2451</v>
      </c>
      <c r="F609" s="8" t="s">
        <v>2451</v>
      </c>
      <c r="G609" s="8" t="s">
        <v>2451</v>
      </c>
    </row>
    <row r="610" spans="1:7" outlineLevel="2" x14ac:dyDescent="0.35">
      <c r="A610" s="8" t="s">
        <v>2451</v>
      </c>
      <c r="B610" s="8" t="s">
        <v>2451</v>
      </c>
      <c r="C610" s="8"/>
      <c r="D610" s="8" t="s">
        <v>2199</v>
      </c>
      <c r="E610" s="8" t="s">
        <v>2451</v>
      </c>
      <c r="F610" s="8" t="s">
        <v>2451</v>
      </c>
      <c r="G610" s="8" t="s">
        <v>2451</v>
      </c>
    </row>
    <row r="611" spans="1:7" outlineLevel="2" x14ac:dyDescent="0.35">
      <c r="A611" s="8" t="s">
        <v>2451</v>
      </c>
      <c r="B611" s="8" t="s">
        <v>2451</v>
      </c>
      <c r="C611" s="8"/>
      <c r="D611" s="8" t="s">
        <v>2200</v>
      </c>
      <c r="E611" s="8" t="s">
        <v>2451</v>
      </c>
      <c r="F611" s="8" t="s">
        <v>2451</v>
      </c>
      <c r="G611" s="8" t="s">
        <v>2451</v>
      </c>
    </row>
    <row r="612" spans="1:7" outlineLevel="1" x14ac:dyDescent="0.35">
      <c r="A612" s="8" t="s">
        <v>86</v>
      </c>
      <c r="B612" s="8" t="s">
        <v>457</v>
      </c>
      <c r="C612" s="8">
        <v>2</v>
      </c>
      <c r="D612" s="8" t="s">
        <v>2451</v>
      </c>
      <c r="E612" s="8" t="s">
        <v>2451</v>
      </c>
      <c r="F612" s="8" t="s">
        <v>2451</v>
      </c>
      <c r="G612" s="8" t="s">
        <v>2451</v>
      </c>
    </row>
    <row r="613" spans="1:7" outlineLevel="2" x14ac:dyDescent="0.35">
      <c r="A613" s="8" t="s">
        <v>2451</v>
      </c>
      <c r="B613" s="8" t="s">
        <v>2451</v>
      </c>
      <c r="C613" s="8"/>
      <c r="D613" s="8" t="s">
        <v>2194</v>
      </c>
      <c r="E613" s="8" t="s">
        <v>2451</v>
      </c>
      <c r="F613" s="8" t="s">
        <v>2451</v>
      </c>
      <c r="G613" s="8" t="s">
        <v>2451</v>
      </c>
    </row>
    <row r="614" spans="1:7" outlineLevel="2" x14ac:dyDescent="0.35">
      <c r="A614" s="8" t="s">
        <v>2451</v>
      </c>
      <c r="B614" s="8" t="s">
        <v>2451</v>
      </c>
      <c r="C614" s="8"/>
      <c r="D614" s="8" t="s">
        <v>2195</v>
      </c>
      <c r="E614" s="8" t="s">
        <v>2451</v>
      </c>
      <c r="F614" s="8" t="s">
        <v>2451</v>
      </c>
      <c r="G614" s="8" t="s">
        <v>2451</v>
      </c>
    </row>
    <row r="615" spans="1:7" outlineLevel="1" x14ac:dyDescent="0.35">
      <c r="A615" s="8" t="s">
        <v>86</v>
      </c>
      <c r="B615" s="8" t="s">
        <v>461</v>
      </c>
      <c r="C615" s="8">
        <v>3</v>
      </c>
      <c r="D615" s="8" t="s">
        <v>2451</v>
      </c>
      <c r="E615" s="8" t="s">
        <v>2451</v>
      </c>
      <c r="F615" s="8" t="s">
        <v>2451</v>
      </c>
      <c r="G615" s="8" t="s">
        <v>2451</v>
      </c>
    </row>
    <row r="616" spans="1:7" outlineLevel="2" x14ac:dyDescent="0.35">
      <c r="A616" s="8" t="s">
        <v>2451</v>
      </c>
      <c r="B616" s="8" t="s">
        <v>2451</v>
      </c>
      <c r="C616" s="8"/>
      <c r="D616" s="8" t="s">
        <v>2191</v>
      </c>
      <c r="E616" s="8" t="s">
        <v>2451</v>
      </c>
      <c r="F616" s="8" t="s">
        <v>2451</v>
      </c>
      <c r="G616" s="8" t="s">
        <v>2451</v>
      </c>
    </row>
    <row r="617" spans="1:7" outlineLevel="2" x14ac:dyDescent="0.35">
      <c r="A617" s="8" t="s">
        <v>2451</v>
      </c>
      <c r="B617" s="8" t="s">
        <v>2451</v>
      </c>
      <c r="C617" s="8"/>
      <c r="D617" s="8" t="s">
        <v>2192</v>
      </c>
      <c r="E617" s="8" t="s">
        <v>2451</v>
      </c>
      <c r="F617" s="8" t="s">
        <v>2451</v>
      </c>
      <c r="G617" s="8" t="s">
        <v>2451</v>
      </c>
    </row>
    <row r="618" spans="1:7" outlineLevel="2" x14ac:dyDescent="0.35">
      <c r="A618" s="8" t="s">
        <v>2451</v>
      </c>
      <c r="B618" s="8" t="s">
        <v>2451</v>
      </c>
      <c r="C618" s="8"/>
      <c r="D618" s="8" t="s">
        <v>2193</v>
      </c>
      <c r="E618" s="8" t="s">
        <v>2451</v>
      </c>
      <c r="F618" s="8" t="s">
        <v>2451</v>
      </c>
      <c r="G618" s="8" t="s">
        <v>2451</v>
      </c>
    </row>
    <row r="619" spans="1:7" outlineLevel="1" x14ac:dyDescent="0.35">
      <c r="A619" s="8" t="s">
        <v>86</v>
      </c>
      <c r="B619" s="8" t="s">
        <v>465</v>
      </c>
      <c r="C619" s="8">
        <v>1</v>
      </c>
      <c r="D619" s="8" t="s">
        <v>2451</v>
      </c>
      <c r="E619" s="8" t="s">
        <v>2451</v>
      </c>
      <c r="F619" s="8" t="s">
        <v>2451</v>
      </c>
      <c r="G619" s="8" t="s">
        <v>2451</v>
      </c>
    </row>
    <row r="620" spans="1:7" outlineLevel="1" x14ac:dyDescent="0.35">
      <c r="A620" s="8" t="s">
        <v>2451</v>
      </c>
      <c r="B620" s="8" t="s">
        <v>2451</v>
      </c>
      <c r="C620" s="8"/>
      <c r="D620" s="8" t="s">
        <v>2190</v>
      </c>
      <c r="E620" s="8" t="s">
        <v>2451</v>
      </c>
      <c r="F620" s="8" t="s">
        <v>2451</v>
      </c>
      <c r="G620" s="8" t="s">
        <v>2451</v>
      </c>
    </row>
    <row r="621" spans="1:7" outlineLevel="1" x14ac:dyDescent="0.35">
      <c r="A621" s="8" t="s">
        <v>59</v>
      </c>
      <c r="B621" s="8" t="s">
        <v>469</v>
      </c>
      <c r="C621" s="8">
        <v>5</v>
      </c>
      <c r="D621" s="8" t="s">
        <v>2451</v>
      </c>
      <c r="E621" s="8" t="s">
        <v>2451</v>
      </c>
      <c r="F621" s="8" t="s">
        <v>2451</v>
      </c>
      <c r="G621" s="8" t="s">
        <v>2451</v>
      </c>
    </row>
    <row r="622" spans="1:7" outlineLevel="2" x14ac:dyDescent="0.35">
      <c r="A622" s="8" t="s">
        <v>2451</v>
      </c>
      <c r="B622" s="8" t="s">
        <v>2451</v>
      </c>
      <c r="C622" s="8"/>
      <c r="D622" s="8" t="s">
        <v>2185</v>
      </c>
      <c r="E622" s="8" t="s">
        <v>2451</v>
      </c>
      <c r="F622" s="8" t="s">
        <v>2451</v>
      </c>
      <c r="G622" s="8" t="s">
        <v>2451</v>
      </c>
    </row>
    <row r="623" spans="1:7" outlineLevel="2" x14ac:dyDescent="0.35">
      <c r="A623" s="8" t="s">
        <v>2451</v>
      </c>
      <c r="B623" s="8" t="s">
        <v>2451</v>
      </c>
      <c r="C623" s="8"/>
      <c r="D623" s="8" t="s">
        <v>2186</v>
      </c>
      <c r="E623" s="8" t="s">
        <v>2451</v>
      </c>
      <c r="F623" s="8" t="s">
        <v>2451</v>
      </c>
      <c r="G623" s="8" t="s">
        <v>2451</v>
      </c>
    </row>
    <row r="624" spans="1:7" outlineLevel="2" x14ac:dyDescent="0.35">
      <c r="A624" s="8" t="s">
        <v>2451</v>
      </c>
      <c r="B624" s="8" t="s">
        <v>2451</v>
      </c>
      <c r="C624" s="8"/>
      <c r="D624" s="8" t="s">
        <v>2187</v>
      </c>
      <c r="E624" s="8" t="s">
        <v>2451</v>
      </c>
      <c r="F624" s="8" t="s">
        <v>2451</v>
      </c>
      <c r="G624" s="8" t="s">
        <v>2451</v>
      </c>
    </row>
    <row r="625" spans="1:7" outlineLevel="2" x14ac:dyDescent="0.35">
      <c r="A625" s="8" t="s">
        <v>2451</v>
      </c>
      <c r="B625" s="8" t="s">
        <v>2451</v>
      </c>
      <c r="C625" s="8"/>
      <c r="D625" s="8" t="s">
        <v>2188</v>
      </c>
      <c r="E625" s="8" t="s">
        <v>2451</v>
      </c>
      <c r="F625" s="8" t="s">
        <v>2451</v>
      </c>
      <c r="G625" s="8" t="s">
        <v>2451</v>
      </c>
    </row>
    <row r="626" spans="1:7" outlineLevel="2" x14ac:dyDescent="0.35">
      <c r="A626" s="8" t="s">
        <v>2451</v>
      </c>
      <c r="B626" s="8" t="s">
        <v>2451</v>
      </c>
      <c r="C626" s="8"/>
      <c r="D626" s="8" t="s">
        <v>2189</v>
      </c>
      <c r="E626" s="8" t="s">
        <v>2451</v>
      </c>
      <c r="F626" s="8" t="s">
        <v>2451</v>
      </c>
      <c r="G626" s="8" t="s">
        <v>2451</v>
      </c>
    </row>
    <row r="627" spans="1:7" outlineLevel="1" x14ac:dyDescent="0.35">
      <c r="A627" s="8" t="s">
        <v>59</v>
      </c>
      <c r="B627" s="8" t="s">
        <v>472</v>
      </c>
      <c r="C627" s="8">
        <v>2</v>
      </c>
      <c r="D627" s="8" t="s">
        <v>2451</v>
      </c>
      <c r="E627" s="8" t="s">
        <v>2451</v>
      </c>
      <c r="F627" s="8" t="s">
        <v>2451</v>
      </c>
      <c r="G627" s="8" t="s">
        <v>2451</v>
      </c>
    </row>
    <row r="628" spans="1:7" outlineLevel="2" x14ac:dyDescent="0.35">
      <c r="A628" s="8" t="s">
        <v>2451</v>
      </c>
      <c r="B628" s="8" t="s">
        <v>2451</v>
      </c>
      <c r="C628" s="8"/>
      <c r="D628" s="8" t="s">
        <v>2183</v>
      </c>
      <c r="E628" s="8" t="s">
        <v>2451</v>
      </c>
      <c r="F628" s="8" t="s">
        <v>2451</v>
      </c>
      <c r="G628" s="8" t="s">
        <v>2451</v>
      </c>
    </row>
    <row r="629" spans="1:7" outlineLevel="2" x14ac:dyDescent="0.35">
      <c r="A629" s="8" t="s">
        <v>2451</v>
      </c>
      <c r="B629" s="8" t="s">
        <v>2451</v>
      </c>
      <c r="C629" s="8"/>
      <c r="D629" s="8" t="s">
        <v>2184</v>
      </c>
      <c r="E629" s="8" t="s">
        <v>2451</v>
      </c>
      <c r="F629" s="8" t="s">
        <v>2451</v>
      </c>
      <c r="G629" s="8" t="s">
        <v>2451</v>
      </c>
    </row>
    <row r="630" spans="1:7" outlineLevel="1" x14ac:dyDescent="0.35">
      <c r="A630" s="8" t="s">
        <v>66</v>
      </c>
      <c r="B630" s="8" t="s">
        <v>475</v>
      </c>
      <c r="C630" s="8">
        <v>1</v>
      </c>
      <c r="D630" s="8" t="s">
        <v>2451</v>
      </c>
      <c r="E630" s="8" t="s">
        <v>2451</v>
      </c>
      <c r="F630" s="8" t="s">
        <v>2451</v>
      </c>
      <c r="G630" s="8" t="s">
        <v>2451</v>
      </c>
    </row>
    <row r="631" spans="1:7" outlineLevel="1" x14ac:dyDescent="0.35">
      <c r="A631" s="8" t="s">
        <v>2451</v>
      </c>
      <c r="B631" s="8" t="s">
        <v>2451</v>
      </c>
      <c r="C631" s="8"/>
      <c r="D631" s="8" t="s">
        <v>2182</v>
      </c>
      <c r="E631" s="8" t="s">
        <v>2451</v>
      </c>
      <c r="F631" s="8" t="s">
        <v>2451</v>
      </c>
      <c r="G631" s="8" t="s">
        <v>2451</v>
      </c>
    </row>
    <row r="632" spans="1:7" outlineLevel="1" x14ac:dyDescent="0.35">
      <c r="A632" s="8" t="s">
        <v>66</v>
      </c>
      <c r="B632" s="8" t="s">
        <v>478</v>
      </c>
      <c r="C632" s="8">
        <v>2</v>
      </c>
      <c r="D632" s="8" t="s">
        <v>2451</v>
      </c>
      <c r="E632" s="8" t="s">
        <v>2451</v>
      </c>
      <c r="F632" s="8" t="s">
        <v>2451</v>
      </c>
      <c r="G632" s="8" t="s">
        <v>2451</v>
      </c>
    </row>
    <row r="633" spans="1:7" outlineLevel="2" x14ac:dyDescent="0.35">
      <c r="A633" s="8" t="s">
        <v>2451</v>
      </c>
      <c r="B633" s="8" t="s">
        <v>2451</v>
      </c>
      <c r="C633" s="8"/>
      <c r="D633" s="8" t="s">
        <v>2180</v>
      </c>
      <c r="E633" s="8" t="s">
        <v>2451</v>
      </c>
      <c r="F633" s="8" t="s">
        <v>2451</v>
      </c>
      <c r="G633" s="8" t="s">
        <v>2451</v>
      </c>
    </row>
    <row r="634" spans="1:7" outlineLevel="2" x14ac:dyDescent="0.35">
      <c r="A634" s="8" t="s">
        <v>2451</v>
      </c>
      <c r="B634" s="8" t="s">
        <v>2451</v>
      </c>
      <c r="C634" s="8"/>
      <c r="D634" s="8" t="s">
        <v>2181</v>
      </c>
      <c r="E634" s="8" t="s">
        <v>2451</v>
      </c>
      <c r="F634" s="8" t="s">
        <v>2451</v>
      </c>
      <c r="G634" s="8" t="s">
        <v>2451</v>
      </c>
    </row>
    <row r="635" spans="1:7" outlineLevel="1" x14ac:dyDescent="0.35">
      <c r="A635" s="8" t="s">
        <v>66</v>
      </c>
      <c r="B635" s="8" t="s">
        <v>480</v>
      </c>
      <c r="C635" s="8">
        <v>2</v>
      </c>
      <c r="D635" s="8" t="s">
        <v>2451</v>
      </c>
      <c r="E635" s="8" t="s">
        <v>2451</v>
      </c>
      <c r="F635" s="8" t="s">
        <v>2451</v>
      </c>
      <c r="G635" s="8" t="s">
        <v>2451</v>
      </c>
    </row>
    <row r="636" spans="1:7" outlineLevel="2" x14ac:dyDescent="0.35">
      <c r="A636" s="8" t="s">
        <v>2451</v>
      </c>
      <c r="B636" s="8" t="s">
        <v>2451</v>
      </c>
      <c r="C636" s="8"/>
      <c r="D636" s="8" t="s">
        <v>2178</v>
      </c>
      <c r="E636" s="8" t="s">
        <v>2451</v>
      </c>
      <c r="F636" s="8" t="s">
        <v>2451</v>
      </c>
      <c r="G636" s="8" t="s">
        <v>2451</v>
      </c>
    </row>
    <row r="637" spans="1:7" outlineLevel="2" x14ac:dyDescent="0.35">
      <c r="A637" s="8" t="s">
        <v>2451</v>
      </c>
      <c r="B637" s="8" t="s">
        <v>2451</v>
      </c>
      <c r="C637" s="8"/>
      <c r="D637" s="8" t="s">
        <v>2179</v>
      </c>
      <c r="E637" s="8" t="s">
        <v>2451</v>
      </c>
      <c r="F637" s="8" t="s">
        <v>2451</v>
      </c>
      <c r="G637" s="8" t="s">
        <v>2451</v>
      </c>
    </row>
    <row r="638" spans="1:7" outlineLevel="1" x14ac:dyDescent="0.35">
      <c r="A638" s="8" t="s">
        <v>124</v>
      </c>
      <c r="B638" s="8" t="s">
        <v>484</v>
      </c>
      <c r="C638" s="8">
        <v>4</v>
      </c>
      <c r="D638" s="8" t="s">
        <v>2451</v>
      </c>
      <c r="E638" s="8" t="s">
        <v>2451</v>
      </c>
      <c r="F638" s="8" t="s">
        <v>2451</v>
      </c>
      <c r="G638" s="8" t="s">
        <v>2451</v>
      </c>
    </row>
    <row r="639" spans="1:7" outlineLevel="2" x14ac:dyDescent="0.35">
      <c r="A639" s="8" t="s">
        <v>2451</v>
      </c>
      <c r="B639" s="8" t="s">
        <v>2451</v>
      </c>
      <c r="C639" s="8"/>
      <c r="D639" s="8" t="s">
        <v>2174</v>
      </c>
      <c r="E639" s="8" t="s">
        <v>2451</v>
      </c>
      <c r="F639" s="8" t="s">
        <v>2451</v>
      </c>
      <c r="G639" s="8" t="s">
        <v>2451</v>
      </c>
    </row>
    <row r="640" spans="1:7" outlineLevel="2" x14ac:dyDescent="0.35">
      <c r="A640" s="8" t="s">
        <v>2451</v>
      </c>
      <c r="B640" s="8" t="s">
        <v>2451</v>
      </c>
      <c r="C640" s="8"/>
      <c r="D640" s="8" t="s">
        <v>2175</v>
      </c>
      <c r="E640" s="8" t="s">
        <v>2451</v>
      </c>
      <c r="F640" s="8" t="s">
        <v>2451</v>
      </c>
      <c r="G640" s="8" t="s">
        <v>2451</v>
      </c>
    </row>
    <row r="641" spans="1:7" outlineLevel="2" x14ac:dyDescent="0.35">
      <c r="A641" s="8" t="s">
        <v>2451</v>
      </c>
      <c r="B641" s="8" t="s">
        <v>2451</v>
      </c>
      <c r="C641" s="8"/>
      <c r="D641" s="8" t="s">
        <v>2176</v>
      </c>
      <c r="E641" s="8" t="s">
        <v>2451</v>
      </c>
      <c r="F641" s="8" t="s">
        <v>2451</v>
      </c>
      <c r="G641" s="8" t="s">
        <v>2451</v>
      </c>
    </row>
    <row r="642" spans="1:7" outlineLevel="2" x14ac:dyDescent="0.35">
      <c r="A642" s="8" t="s">
        <v>2451</v>
      </c>
      <c r="B642" s="8" t="s">
        <v>2451</v>
      </c>
      <c r="C642" s="8"/>
      <c r="D642" s="8" t="s">
        <v>2177</v>
      </c>
      <c r="E642" s="8" t="s">
        <v>2451</v>
      </c>
      <c r="F642" s="8" t="s">
        <v>2451</v>
      </c>
      <c r="G642" s="8" t="s">
        <v>2451</v>
      </c>
    </row>
    <row r="643" spans="1:7" outlineLevel="1" x14ac:dyDescent="0.35">
      <c r="A643" s="8" t="s">
        <v>124</v>
      </c>
      <c r="B643" s="8" t="s">
        <v>488</v>
      </c>
      <c r="C643" s="8">
        <v>2</v>
      </c>
      <c r="D643" s="8" t="s">
        <v>2451</v>
      </c>
      <c r="E643" s="8" t="s">
        <v>2451</v>
      </c>
      <c r="F643" s="8" t="s">
        <v>2451</v>
      </c>
      <c r="G643" s="8" t="s">
        <v>2451</v>
      </c>
    </row>
    <row r="644" spans="1:7" outlineLevel="2" x14ac:dyDescent="0.35">
      <c r="A644" s="8" t="s">
        <v>2451</v>
      </c>
      <c r="B644" s="8" t="s">
        <v>2451</v>
      </c>
      <c r="C644" s="8"/>
      <c r="D644" s="8" t="s">
        <v>2172</v>
      </c>
      <c r="E644" s="8" t="s">
        <v>2451</v>
      </c>
      <c r="F644" s="8" t="s">
        <v>2451</v>
      </c>
      <c r="G644" s="8" t="s">
        <v>2451</v>
      </c>
    </row>
    <row r="645" spans="1:7" outlineLevel="2" x14ac:dyDescent="0.35">
      <c r="A645" s="8" t="s">
        <v>2451</v>
      </c>
      <c r="B645" s="8" t="s">
        <v>2451</v>
      </c>
      <c r="C645" s="8"/>
      <c r="D645" s="8" t="s">
        <v>2173</v>
      </c>
      <c r="E645" s="8" t="s">
        <v>2451</v>
      </c>
      <c r="F645" s="8" t="s">
        <v>2451</v>
      </c>
      <c r="G645" s="8" t="s">
        <v>2451</v>
      </c>
    </row>
    <row r="646" spans="1:7" outlineLevel="1" x14ac:dyDescent="0.35">
      <c r="A646" s="8" t="s">
        <v>124</v>
      </c>
      <c r="B646" s="8" t="s">
        <v>491</v>
      </c>
      <c r="C646" s="8">
        <v>1</v>
      </c>
      <c r="D646" s="8" t="s">
        <v>2451</v>
      </c>
      <c r="E646" s="8" t="s">
        <v>2451</v>
      </c>
      <c r="F646" s="8" t="s">
        <v>2451</v>
      </c>
      <c r="G646" s="8" t="s">
        <v>2451</v>
      </c>
    </row>
    <row r="647" spans="1:7" outlineLevel="1" x14ac:dyDescent="0.35">
      <c r="A647" s="8" t="s">
        <v>2451</v>
      </c>
      <c r="B647" s="8" t="s">
        <v>2451</v>
      </c>
      <c r="C647" s="8"/>
      <c r="D647" s="8" t="s">
        <v>2171</v>
      </c>
      <c r="E647" s="8" t="s">
        <v>2451</v>
      </c>
      <c r="F647" s="8" t="s">
        <v>2451</v>
      </c>
      <c r="G647" s="8" t="s">
        <v>2451</v>
      </c>
    </row>
    <row r="648" spans="1:7" outlineLevel="1" x14ac:dyDescent="0.35">
      <c r="A648" s="8" t="s">
        <v>124</v>
      </c>
      <c r="B648" s="8" t="s">
        <v>495</v>
      </c>
      <c r="C648" s="8">
        <v>6</v>
      </c>
      <c r="D648" s="8" t="s">
        <v>2451</v>
      </c>
      <c r="E648" s="8" t="s">
        <v>2451</v>
      </c>
      <c r="F648" s="8" t="s">
        <v>2451</v>
      </c>
      <c r="G648" s="8" t="s">
        <v>2451</v>
      </c>
    </row>
    <row r="649" spans="1:7" outlineLevel="2" x14ac:dyDescent="0.35">
      <c r="A649" s="8" t="s">
        <v>2451</v>
      </c>
      <c r="B649" s="8" t="s">
        <v>2451</v>
      </c>
      <c r="C649" s="8"/>
      <c r="D649" s="8" t="s">
        <v>2165</v>
      </c>
      <c r="E649" s="8" t="s">
        <v>2451</v>
      </c>
      <c r="F649" s="8" t="s">
        <v>2451</v>
      </c>
      <c r="G649" s="8" t="s">
        <v>2451</v>
      </c>
    </row>
    <row r="650" spans="1:7" outlineLevel="2" x14ac:dyDescent="0.35">
      <c r="A650" s="8" t="s">
        <v>2451</v>
      </c>
      <c r="B650" s="8" t="s">
        <v>2451</v>
      </c>
      <c r="C650" s="8"/>
      <c r="D650" s="8" t="s">
        <v>2166</v>
      </c>
      <c r="E650" s="8" t="s">
        <v>2451</v>
      </c>
      <c r="F650" s="8" t="s">
        <v>2451</v>
      </c>
      <c r="G650" s="8" t="s">
        <v>2451</v>
      </c>
    </row>
    <row r="651" spans="1:7" outlineLevel="2" x14ac:dyDescent="0.35">
      <c r="A651" s="8" t="s">
        <v>2451</v>
      </c>
      <c r="B651" s="8" t="s">
        <v>2451</v>
      </c>
      <c r="C651" s="8"/>
      <c r="D651" s="8" t="s">
        <v>2167</v>
      </c>
      <c r="E651" s="8" t="s">
        <v>2451</v>
      </c>
      <c r="F651" s="8" t="s">
        <v>2451</v>
      </c>
      <c r="G651" s="8" t="s">
        <v>2451</v>
      </c>
    </row>
    <row r="652" spans="1:7" outlineLevel="2" x14ac:dyDescent="0.35">
      <c r="A652" s="8" t="s">
        <v>2451</v>
      </c>
      <c r="B652" s="8" t="s">
        <v>2451</v>
      </c>
      <c r="C652" s="8"/>
      <c r="D652" s="8" t="s">
        <v>2168</v>
      </c>
      <c r="E652" s="8" t="s">
        <v>2451</v>
      </c>
      <c r="F652" s="8" t="s">
        <v>2451</v>
      </c>
      <c r="G652" s="8" t="s">
        <v>2451</v>
      </c>
    </row>
    <row r="653" spans="1:7" outlineLevel="2" x14ac:dyDescent="0.35">
      <c r="A653" s="8" t="s">
        <v>2451</v>
      </c>
      <c r="B653" s="8" t="s">
        <v>2451</v>
      </c>
      <c r="C653" s="8"/>
      <c r="D653" s="8" t="s">
        <v>2169</v>
      </c>
      <c r="E653" s="8" t="s">
        <v>2451</v>
      </c>
      <c r="F653" s="8" t="s">
        <v>2451</v>
      </c>
      <c r="G653" s="8" t="s">
        <v>2451</v>
      </c>
    </row>
    <row r="654" spans="1:7" outlineLevel="2" x14ac:dyDescent="0.35">
      <c r="A654" s="8" t="s">
        <v>2451</v>
      </c>
      <c r="B654" s="8" t="s">
        <v>2451</v>
      </c>
      <c r="C654" s="8"/>
      <c r="D654" s="8" t="s">
        <v>2170</v>
      </c>
      <c r="E654" s="8" t="s">
        <v>2451</v>
      </c>
      <c r="F654" s="8" t="s">
        <v>2451</v>
      </c>
      <c r="G654" s="8" t="s">
        <v>2451</v>
      </c>
    </row>
    <row r="655" spans="1:7" outlineLevel="1" x14ac:dyDescent="0.35">
      <c r="A655" s="8" t="s">
        <v>124</v>
      </c>
      <c r="B655" s="8" t="s">
        <v>498</v>
      </c>
      <c r="C655" s="8">
        <v>3</v>
      </c>
      <c r="D655" s="8" t="s">
        <v>2451</v>
      </c>
      <c r="E655" s="8" t="s">
        <v>2451</v>
      </c>
      <c r="F655" s="8" t="s">
        <v>2451</v>
      </c>
      <c r="G655" s="8" t="s">
        <v>2451</v>
      </c>
    </row>
    <row r="656" spans="1:7" outlineLevel="2" x14ac:dyDescent="0.35">
      <c r="A656" s="8" t="s">
        <v>2451</v>
      </c>
      <c r="B656" s="8" t="s">
        <v>2451</v>
      </c>
      <c r="C656" s="8"/>
      <c r="D656" s="8" t="s">
        <v>2162</v>
      </c>
      <c r="E656" s="8" t="s">
        <v>2451</v>
      </c>
      <c r="F656" s="8" t="s">
        <v>2451</v>
      </c>
      <c r="G656" s="8" t="s">
        <v>2451</v>
      </c>
    </row>
    <row r="657" spans="1:7" outlineLevel="2" x14ac:dyDescent="0.35">
      <c r="A657" s="8" t="s">
        <v>2451</v>
      </c>
      <c r="B657" s="8" t="s">
        <v>2451</v>
      </c>
      <c r="C657" s="8"/>
      <c r="D657" s="8" t="s">
        <v>2163</v>
      </c>
      <c r="E657" s="8" t="s">
        <v>2451</v>
      </c>
      <c r="F657" s="8" t="s">
        <v>2451</v>
      </c>
      <c r="G657" s="8" t="s">
        <v>2451</v>
      </c>
    </row>
    <row r="658" spans="1:7" outlineLevel="2" x14ac:dyDescent="0.35">
      <c r="A658" s="8" t="s">
        <v>2451</v>
      </c>
      <c r="B658" s="8" t="s">
        <v>2451</v>
      </c>
      <c r="C658" s="8"/>
      <c r="D658" s="8" t="s">
        <v>2164</v>
      </c>
      <c r="E658" s="8" t="s">
        <v>2451</v>
      </c>
      <c r="F658" s="8" t="s">
        <v>2451</v>
      </c>
      <c r="G658" s="8" t="s">
        <v>2451</v>
      </c>
    </row>
    <row r="659" spans="1:7" outlineLevel="1" x14ac:dyDescent="0.35">
      <c r="A659" s="8" t="s">
        <v>124</v>
      </c>
      <c r="B659" s="8" t="s">
        <v>502</v>
      </c>
      <c r="C659" s="8">
        <v>3</v>
      </c>
      <c r="D659" s="8" t="s">
        <v>2451</v>
      </c>
      <c r="E659" s="8" t="s">
        <v>2451</v>
      </c>
      <c r="F659" s="8" t="s">
        <v>2451</v>
      </c>
      <c r="G659" s="8" t="s">
        <v>2451</v>
      </c>
    </row>
    <row r="660" spans="1:7" outlineLevel="2" x14ac:dyDescent="0.35">
      <c r="A660" s="8" t="s">
        <v>2451</v>
      </c>
      <c r="B660" s="8" t="s">
        <v>2451</v>
      </c>
      <c r="C660" s="8"/>
      <c r="D660" s="8" t="s">
        <v>2159</v>
      </c>
      <c r="E660" s="8" t="s">
        <v>2451</v>
      </c>
      <c r="F660" s="8" t="s">
        <v>2451</v>
      </c>
      <c r="G660" s="8" t="s">
        <v>2451</v>
      </c>
    </row>
    <row r="661" spans="1:7" outlineLevel="2" x14ac:dyDescent="0.35">
      <c r="A661" s="8" t="s">
        <v>2451</v>
      </c>
      <c r="B661" s="8" t="s">
        <v>2451</v>
      </c>
      <c r="C661" s="8"/>
      <c r="D661" s="8" t="s">
        <v>2160</v>
      </c>
      <c r="E661" s="8" t="s">
        <v>2451</v>
      </c>
      <c r="F661" s="8" t="s">
        <v>2451</v>
      </c>
      <c r="G661" s="8" t="s">
        <v>2451</v>
      </c>
    </row>
    <row r="662" spans="1:7" outlineLevel="2" x14ac:dyDescent="0.35">
      <c r="A662" s="8" t="s">
        <v>2451</v>
      </c>
      <c r="B662" s="8" t="s">
        <v>2451</v>
      </c>
      <c r="C662" s="8"/>
      <c r="D662" s="8" t="s">
        <v>2161</v>
      </c>
      <c r="E662" s="8" t="s">
        <v>2451</v>
      </c>
      <c r="F662" s="8" t="s">
        <v>2451</v>
      </c>
      <c r="G662" s="8" t="s">
        <v>2451</v>
      </c>
    </row>
    <row r="663" spans="1:7" outlineLevel="1" x14ac:dyDescent="0.35">
      <c r="A663" s="8" t="s">
        <v>505</v>
      </c>
      <c r="B663" s="8" t="s">
        <v>506</v>
      </c>
      <c r="C663" s="8">
        <v>3</v>
      </c>
      <c r="D663" s="8" t="s">
        <v>2451</v>
      </c>
      <c r="E663" s="8" t="s">
        <v>2451</v>
      </c>
      <c r="F663" s="8" t="s">
        <v>2451</v>
      </c>
      <c r="G663" s="8" t="s">
        <v>2451</v>
      </c>
    </row>
    <row r="664" spans="1:7" outlineLevel="2" x14ac:dyDescent="0.35">
      <c r="A664" s="8" t="s">
        <v>2451</v>
      </c>
      <c r="B664" s="8" t="s">
        <v>2451</v>
      </c>
      <c r="C664" s="8"/>
      <c r="D664" s="8" t="s">
        <v>2156</v>
      </c>
      <c r="E664" s="8" t="s">
        <v>2451</v>
      </c>
      <c r="F664" s="8" t="s">
        <v>2451</v>
      </c>
      <c r="G664" s="8" t="s">
        <v>2451</v>
      </c>
    </row>
    <row r="665" spans="1:7" outlineLevel="2" x14ac:dyDescent="0.35">
      <c r="A665" s="8" t="s">
        <v>2451</v>
      </c>
      <c r="B665" s="8" t="s">
        <v>2451</v>
      </c>
      <c r="C665" s="8"/>
      <c r="D665" s="8" t="s">
        <v>2157</v>
      </c>
      <c r="E665" s="8" t="s">
        <v>2451</v>
      </c>
      <c r="F665" s="8" t="s">
        <v>2451</v>
      </c>
      <c r="G665" s="8" t="s">
        <v>2451</v>
      </c>
    </row>
    <row r="666" spans="1:7" outlineLevel="2" x14ac:dyDescent="0.35">
      <c r="A666" s="8" t="s">
        <v>2451</v>
      </c>
      <c r="B666" s="8" t="s">
        <v>2451</v>
      </c>
      <c r="C666" s="8"/>
      <c r="D666" s="8" t="s">
        <v>2158</v>
      </c>
      <c r="E666" s="8" t="s">
        <v>2451</v>
      </c>
      <c r="F666" s="8" t="s">
        <v>2451</v>
      </c>
      <c r="G666" s="8" t="s">
        <v>2451</v>
      </c>
    </row>
    <row r="667" spans="1:7" outlineLevel="1" x14ac:dyDescent="0.35">
      <c r="A667" s="8" t="s">
        <v>72</v>
      </c>
      <c r="B667" s="8" t="s">
        <v>510</v>
      </c>
      <c r="C667" s="8">
        <v>2</v>
      </c>
      <c r="D667" s="8" t="s">
        <v>2451</v>
      </c>
      <c r="E667" s="8" t="s">
        <v>2451</v>
      </c>
      <c r="F667" s="8" t="s">
        <v>2451</v>
      </c>
      <c r="G667" s="8" t="s">
        <v>2451</v>
      </c>
    </row>
    <row r="668" spans="1:7" outlineLevel="2" x14ac:dyDescent="0.35">
      <c r="A668" s="8" t="s">
        <v>2451</v>
      </c>
      <c r="B668" s="8" t="s">
        <v>2451</v>
      </c>
      <c r="C668" s="8"/>
      <c r="D668" s="8" t="s">
        <v>2154</v>
      </c>
      <c r="E668" s="8" t="s">
        <v>2451</v>
      </c>
      <c r="F668" s="8" t="s">
        <v>2451</v>
      </c>
      <c r="G668" s="8" t="s">
        <v>2451</v>
      </c>
    </row>
    <row r="669" spans="1:7" outlineLevel="2" x14ac:dyDescent="0.35">
      <c r="A669" s="8" t="s">
        <v>2451</v>
      </c>
      <c r="B669" s="8" t="s">
        <v>2451</v>
      </c>
      <c r="C669" s="8"/>
      <c r="D669" s="8" t="s">
        <v>2155</v>
      </c>
      <c r="E669" s="8" t="s">
        <v>2451</v>
      </c>
      <c r="F669" s="8" t="s">
        <v>2451</v>
      </c>
      <c r="G669" s="8" t="s">
        <v>2451</v>
      </c>
    </row>
    <row r="670" spans="1:7" outlineLevel="1" x14ac:dyDescent="0.35">
      <c r="A670" s="8" t="s">
        <v>268</v>
      </c>
      <c r="B670" s="8" t="s">
        <v>513</v>
      </c>
      <c r="C670" s="8">
        <v>2</v>
      </c>
      <c r="D670" s="8" t="s">
        <v>2451</v>
      </c>
      <c r="E670" s="8" t="s">
        <v>2451</v>
      </c>
      <c r="F670" s="8" t="s">
        <v>2451</v>
      </c>
      <c r="G670" s="8" t="s">
        <v>2451</v>
      </c>
    </row>
    <row r="671" spans="1:7" outlineLevel="2" x14ac:dyDescent="0.35">
      <c r="A671" s="8" t="s">
        <v>2451</v>
      </c>
      <c r="B671" s="8" t="s">
        <v>2451</v>
      </c>
      <c r="C671" s="8"/>
      <c r="D671" s="8" t="s">
        <v>2152</v>
      </c>
      <c r="E671" s="8" t="s">
        <v>2451</v>
      </c>
      <c r="F671" s="8" t="s">
        <v>2451</v>
      </c>
      <c r="G671" s="8" t="s">
        <v>2451</v>
      </c>
    </row>
    <row r="672" spans="1:7" outlineLevel="2" x14ac:dyDescent="0.35">
      <c r="A672" s="8" t="s">
        <v>2451</v>
      </c>
      <c r="B672" s="8" t="s">
        <v>2451</v>
      </c>
      <c r="C672" s="8"/>
      <c r="D672" s="8" t="s">
        <v>2153</v>
      </c>
      <c r="E672" s="8" t="s">
        <v>2451</v>
      </c>
      <c r="F672" s="8" t="s">
        <v>2451</v>
      </c>
      <c r="G672" s="8" t="s">
        <v>2451</v>
      </c>
    </row>
    <row r="673" spans="1:7" outlineLevel="1" x14ac:dyDescent="0.35">
      <c r="A673" s="8" t="s">
        <v>83</v>
      </c>
      <c r="B673" s="8" t="s">
        <v>516</v>
      </c>
      <c r="C673" s="8">
        <v>3</v>
      </c>
      <c r="D673" s="8" t="s">
        <v>2451</v>
      </c>
      <c r="E673" s="8" t="s">
        <v>2451</v>
      </c>
      <c r="F673" s="8" t="s">
        <v>2451</v>
      </c>
      <c r="G673" s="8" t="s">
        <v>2451</v>
      </c>
    </row>
    <row r="674" spans="1:7" outlineLevel="2" x14ac:dyDescent="0.35">
      <c r="A674" s="8" t="s">
        <v>2451</v>
      </c>
      <c r="B674" s="8" t="s">
        <v>2451</v>
      </c>
      <c r="C674" s="8"/>
      <c r="D674" s="8" t="s">
        <v>2149</v>
      </c>
      <c r="E674" s="8" t="s">
        <v>2451</v>
      </c>
      <c r="F674" s="8" t="s">
        <v>2451</v>
      </c>
      <c r="G674" s="8" t="s">
        <v>2451</v>
      </c>
    </row>
    <row r="675" spans="1:7" outlineLevel="2" x14ac:dyDescent="0.35">
      <c r="A675" s="8" t="s">
        <v>2451</v>
      </c>
      <c r="B675" s="8" t="s">
        <v>2451</v>
      </c>
      <c r="C675" s="8"/>
      <c r="D675" s="8" t="s">
        <v>2150</v>
      </c>
      <c r="E675" s="8" t="s">
        <v>2451</v>
      </c>
      <c r="F675" s="8" t="s">
        <v>2451</v>
      </c>
      <c r="G675" s="8" t="s">
        <v>2451</v>
      </c>
    </row>
    <row r="676" spans="1:7" outlineLevel="2" x14ac:dyDescent="0.35">
      <c r="A676" s="8" t="s">
        <v>2451</v>
      </c>
      <c r="B676" s="8" t="s">
        <v>2451</v>
      </c>
      <c r="C676" s="8"/>
      <c r="D676" s="8" t="s">
        <v>2151</v>
      </c>
      <c r="E676" s="8" t="s">
        <v>2451</v>
      </c>
      <c r="F676" s="8" t="s">
        <v>2451</v>
      </c>
      <c r="G676" s="8" t="s">
        <v>2451</v>
      </c>
    </row>
    <row r="677" spans="1:7" outlineLevel="1" x14ac:dyDescent="0.35">
      <c r="A677" s="8" t="s">
        <v>83</v>
      </c>
      <c r="B677" s="8" t="s">
        <v>520</v>
      </c>
      <c r="C677" s="8">
        <v>2</v>
      </c>
      <c r="D677" s="8" t="s">
        <v>2451</v>
      </c>
      <c r="E677" s="8" t="s">
        <v>2451</v>
      </c>
      <c r="F677" s="8" t="s">
        <v>2451</v>
      </c>
      <c r="G677" s="8" t="s">
        <v>2451</v>
      </c>
    </row>
    <row r="678" spans="1:7" outlineLevel="2" x14ac:dyDescent="0.35">
      <c r="A678" s="8" t="s">
        <v>2451</v>
      </c>
      <c r="B678" s="8" t="s">
        <v>2451</v>
      </c>
      <c r="C678" s="8"/>
      <c r="D678" s="8" t="s">
        <v>2147</v>
      </c>
      <c r="E678" s="8" t="s">
        <v>2451</v>
      </c>
      <c r="F678" s="8" t="s">
        <v>2451</v>
      </c>
      <c r="G678" s="8" t="s">
        <v>2451</v>
      </c>
    </row>
    <row r="679" spans="1:7" outlineLevel="2" x14ac:dyDescent="0.35">
      <c r="A679" s="8" t="s">
        <v>2451</v>
      </c>
      <c r="B679" s="8" t="s">
        <v>2451</v>
      </c>
      <c r="C679" s="8"/>
      <c r="D679" s="8" t="s">
        <v>2148</v>
      </c>
      <c r="E679" s="8" t="s">
        <v>2451</v>
      </c>
      <c r="F679" s="8" t="s">
        <v>2451</v>
      </c>
      <c r="G679" s="8" t="s">
        <v>2451</v>
      </c>
    </row>
    <row r="680" spans="1:7" outlineLevel="1" x14ac:dyDescent="0.35">
      <c r="A680" s="8" t="s">
        <v>209</v>
      </c>
      <c r="B680" s="8" t="s">
        <v>523</v>
      </c>
      <c r="C680" s="8">
        <v>3</v>
      </c>
      <c r="D680" s="8" t="s">
        <v>2451</v>
      </c>
      <c r="E680" s="8" t="s">
        <v>2451</v>
      </c>
      <c r="F680" s="8" t="s">
        <v>2451</v>
      </c>
      <c r="G680" s="8" t="s">
        <v>2451</v>
      </c>
    </row>
    <row r="681" spans="1:7" outlineLevel="2" x14ac:dyDescent="0.35">
      <c r="A681" s="8" t="s">
        <v>2451</v>
      </c>
      <c r="B681" s="8" t="s">
        <v>2451</v>
      </c>
      <c r="C681" s="8"/>
      <c r="D681" s="8" t="s">
        <v>2144</v>
      </c>
      <c r="E681" s="8" t="s">
        <v>2451</v>
      </c>
      <c r="F681" s="8" t="s">
        <v>2451</v>
      </c>
      <c r="G681" s="8" t="s">
        <v>2451</v>
      </c>
    </row>
    <row r="682" spans="1:7" outlineLevel="2" x14ac:dyDescent="0.35">
      <c r="A682" s="8" t="s">
        <v>2451</v>
      </c>
      <c r="B682" s="8" t="s">
        <v>2451</v>
      </c>
      <c r="C682" s="8"/>
      <c r="D682" s="8" t="s">
        <v>2145</v>
      </c>
      <c r="E682" s="8" t="s">
        <v>2451</v>
      </c>
      <c r="F682" s="8" t="s">
        <v>2451</v>
      </c>
      <c r="G682" s="8" t="s">
        <v>2451</v>
      </c>
    </row>
    <row r="683" spans="1:7" outlineLevel="2" x14ac:dyDescent="0.35">
      <c r="A683" s="8" t="s">
        <v>2451</v>
      </c>
      <c r="B683" s="8" t="s">
        <v>2451</v>
      </c>
      <c r="C683" s="8"/>
      <c r="D683" s="8" t="s">
        <v>2146</v>
      </c>
      <c r="E683" s="8" t="s">
        <v>2451</v>
      </c>
      <c r="F683" s="8" t="s">
        <v>2451</v>
      </c>
      <c r="G683" s="8" t="s">
        <v>2451</v>
      </c>
    </row>
    <row r="684" spans="1:7" outlineLevel="1" x14ac:dyDescent="0.35">
      <c r="A684" s="8" t="s">
        <v>526</v>
      </c>
      <c r="B684" s="8" t="s">
        <v>527</v>
      </c>
      <c r="C684" s="8">
        <v>1</v>
      </c>
      <c r="D684" s="8" t="s">
        <v>2451</v>
      </c>
      <c r="E684" s="8" t="s">
        <v>2451</v>
      </c>
      <c r="F684" s="8" t="s">
        <v>2451</v>
      </c>
      <c r="G684" s="8" t="s">
        <v>2451</v>
      </c>
    </row>
    <row r="685" spans="1:7" outlineLevel="1" x14ac:dyDescent="0.35">
      <c r="A685" s="8" t="s">
        <v>2451</v>
      </c>
      <c r="B685" s="8" t="s">
        <v>2451</v>
      </c>
      <c r="C685" s="8"/>
      <c r="D685" s="8" t="s">
        <v>2143</v>
      </c>
      <c r="E685" s="8" t="s">
        <v>2451</v>
      </c>
      <c r="F685" s="8" t="s">
        <v>2451</v>
      </c>
      <c r="G685" s="8" t="s">
        <v>2451</v>
      </c>
    </row>
    <row r="686" spans="1:7" outlineLevel="1" x14ac:dyDescent="0.35">
      <c r="A686" s="8" t="s">
        <v>526</v>
      </c>
      <c r="B686" s="8" t="s">
        <v>531</v>
      </c>
      <c r="C686" s="8">
        <v>3</v>
      </c>
      <c r="D686" s="8" t="s">
        <v>2451</v>
      </c>
      <c r="E686" s="8" t="s">
        <v>2451</v>
      </c>
      <c r="F686" s="8" t="s">
        <v>2451</v>
      </c>
      <c r="G686" s="8" t="s">
        <v>2451</v>
      </c>
    </row>
    <row r="687" spans="1:7" outlineLevel="2" x14ac:dyDescent="0.35">
      <c r="A687" s="8" t="s">
        <v>2451</v>
      </c>
      <c r="B687" s="8" t="s">
        <v>2451</v>
      </c>
      <c r="C687" s="8"/>
      <c r="D687" s="8" t="s">
        <v>2140</v>
      </c>
      <c r="E687" s="8" t="s">
        <v>2451</v>
      </c>
      <c r="F687" s="8" t="s">
        <v>2451</v>
      </c>
      <c r="G687" s="8" t="s">
        <v>2451</v>
      </c>
    </row>
    <row r="688" spans="1:7" outlineLevel="2" x14ac:dyDescent="0.35">
      <c r="A688" s="8" t="s">
        <v>2451</v>
      </c>
      <c r="B688" s="8" t="s">
        <v>2451</v>
      </c>
      <c r="C688" s="8"/>
      <c r="D688" s="8" t="s">
        <v>2141</v>
      </c>
      <c r="E688" s="8" t="s">
        <v>2451</v>
      </c>
      <c r="F688" s="8" t="s">
        <v>2451</v>
      </c>
      <c r="G688" s="8" t="s">
        <v>2451</v>
      </c>
    </row>
    <row r="689" spans="1:7" outlineLevel="2" x14ac:dyDescent="0.35">
      <c r="A689" s="8" t="s">
        <v>2451</v>
      </c>
      <c r="B689" s="8" t="s">
        <v>2451</v>
      </c>
      <c r="C689" s="8"/>
      <c r="D689" s="8" t="s">
        <v>2142</v>
      </c>
      <c r="E689" s="8" t="s">
        <v>2451</v>
      </c>
      <c r="F689" s="8" t="s">
        <v>2451</v>
      </c>
      <c r="G689" s="8" t="s">
        <v>2451</v>
      </c>
    </row>
    <row r="690" spans="1:7" outlineLevel="1" x14ac:dyDescent="0.35">
      <c r="A690" s="8" t="s">
        <v>526</v>
      </c>
      <c r="B690" s="8" t="s">
        <v>535</v>
      </c>
      <c r="C690" s="8">
        <v>1</v>
      </c>
      <c r="D690" s="8" t="s">
        <v>2451</v>
      </c>
      <c r="E690" s="8" t="s">
        <v>2451</v>
      </c>
      <c r="F690" s="8" t="s">
        <v>2451</v>
      </c>
      <c r="G690" s="8" t="s">
        <v>2451</v>
      </c>
    </row>
    <row r="691" spans="1:7" outlineLevel="1" x14ac:dyDescent="0.35">
      <c r="A691" s="8" t="s">
        <v>2451</v>
      </c>
      <c r="B691" s="8" t="s">
        <v>2451</v>
      </c>
      <c r="C691" s="8"/>
      <c r="D691" s="8" t="s">
        <v>2139</v>
      </c>
      <c r="E691" s="8" t="s">
        <v>2451</v>
      </c>
      <c r="F691" s="8" t="s">
        <v>2451</v>
      </c>
      <c r="G691" s="8" t="s">
        <v>2451</v>
      </c>
    </row>
    <row r="692" spans="1:7" outlineLevel="1" x14ac:dyDescent="0.35">
      <c r="A692" s="8" t="s">
        <v>526</v>
      </c>
      <c r="B692" s="8" t="s">
        <v>538</v>
      </c>
      <c r="C692" s="8">
        <v>1</v>
      </c>
      <c r="D692" s="8" t="s">
        <v>2451</v>
      </c>
      <c r="E692" s="8" t="s">
        <v>2451</v>
      </c>
      <c r="F692" s="8" t="s">
        <v>2451</v>
      </c>
      <c r="G692" s="8" t="s">
        <v>2451</v>
      </c>
    </row>
    <row r="693" spans="1:7" outlineLevel="1" x14ac:dyDescent="0.35">
      <c r="A693" s="8" t="s">
        <v>2451</v>
      </c>
      <c r="B693" s="8" t="s">
        <v>2451</v>
      </c>
      <c r="C693" s="8"/>
      <c r="D693" s="8" t="s">
        <v>2138</v>
      </c>
      <c r="E693" s="8" t="s">
        <v>2451</v>
      </c>
      <c r="F693" s="8" t="s">
        <v>2451</v>
      </c>
      <c r="G693" s="8" t="s">
        <v>2451</v>
      </c>
    </row>
    <row r="694" spans="1:7" outlineLevel="1" x14ac:dyDescent="0.35">
      <c r="A694" s="8" t="s">
        <v>526</v>
      </c>
      <c r="B694" s="8" t="s">
        <v>542</v>
      </c>
      <c r="C694" s="8">
        <v>1</v>
      </c>
      <c r="D694" s="8" t="s">
        <v>2451</v>
      </c>
      <c r="E694" s="8" t="s">
        <v>2451</v>
      </c>
      <c r="F694" s="8" t="s">
        <v>2451</v>
      </c>
      <c r="G694" s="8" t="s">
        <v>2451</v>
      </c>
    </row>
    <row r="695" spans="1:7" outlineLevel="1" x14ac:dyDescent="0.35">
      <c r="A695" s="8" t="s">
        <v>2451</v>
      </c>
      <c r="B695" s="8" t="s">
        <v>2451</v>
      </c>
      <c r="C695" s="8"/>
      <c r="D695" s="8" t="s">
        <v>2137</v>
      </c>
      <c r="E695" s="8" t="s">
        <v>2451</v>
      </c>
      <c r="F695" s="8" t="s">
        <v>2451</v>
      </c>
      <c r="G695" s="8" t="s">
        <v>2451</v>
      </c>
    </row>
    <row r="696" spans="1:7" outlineLevel="1" x14ac:dyDescent="0.35">
      <c r="A696" s="8" t="s">
        <v>526</v>
      </c>
      <c r="B696" s="8" t="s">
        <v>546</v>
      </c>
      <c r="C696" s="8">
        <v>3</v>
      </c>
      <c r="D696" s="8" t="s">
        <v>2451</v>
      </c>
      <c r="E696" s="8" t="s">
        <v>2451</v>
      </c>
      <c r="F696" s="8" t="s">
        <v>2451</v>
      </c>
      <c r="G696" s="8" t="s">
        <v>2451</v>
      </c>
    </row>
    <row r="697" spans="1:7" outlineLevel="2" x14ac:dyDescent="0.35">
      <c r="A697" s="8" t="s">
        <v>2451</v>
      </c>
      <c r="B697" s="8" t="s">
        <v>2451</v>
      </c>
      <c r="C697" s="8"/>
      <c r="D697" s="8" t="s">
        <v>2134</v>
      </c>
      <c r="E697" s="8" t="s">
        <v>2451</v>
      </c>
      <c r="F697" s="8" t="s">
        <v>2451</v>
      </c>
      <c r="G697" s="8" t="s">
        <v>2451</v>
      </c>
    </row>
    <row r="698" spans="1:7" outlineLevel="2" x14ac:dyDescent="0.35">
      <c r="A698" s="8" t="s">
        <v>2451</v>
      </c>
      <c r="B698" s="8" t="s">
        <v>2451</v>
      </c>
      <c r="C698" s="8"/>
      <c r="D698" s="8" t="s">
        <v>2135</v>
      </c>
      <c r="E698" s="8" t="s">
        <v>2451</v>
      </c>
      <c r="F698" s="8" t="s">
        <v>2451</v>
      </c>
      <c r="G698" s="8" t="s">
        <v>2451</v>
      </c>
    </row>
    <row r="699" spans="1:7" outlineLevel="2" x14ac:dyDescent="0.35">
      <c r="A699" s="8" t="s">
        <v>2451</v>
      </c>
      <c r="B699" s="8" t="s">
        <v>2451</v>
      </c>
      <c r="C699" s="8"/>
      <c r="D699" s="8" t="s">
        <v>2136</v>
      </c>
      <c r="E699" s="8" t="s">
        <v>2451</v>
      </c>
      <c r="F699" s="8" t="s">
        <v>2451</v>
      </c>
      <c r="G699" s="8" t="s">
        <v>2451</v>
      </c>
    </row>
    <row r="700" spans="1:7" outlineLevel="1" x14ac:dyDescent="0.35">
      <c r="A700" s="8" t="s">
        <v>526</v>
      </c>
      <c r="B700" s="8" t="s">
        <v>549</v>
      </c>
      <c r="C700" s="8">
        <v>5</v>
      </c>
      <c r="D700" s="8" t="s">
        <v>2451</v>
      </c>
      <c r="E700" s="8" t="s">
        <v>2451</v>
      </c>
      <c r="F700" s="8" t="s">
        <v>2451</v>
      </c>
      <c r="G700" s="8" t="s">
        <v>2451</v>
      </c>
    </row>
    <row r="701" spans="1:7" outlineLevel="2" x14ac:dyDescent="0.35">
      <c r="A701" s="8" t="s">
        <v>2451</v>
      </c>
      <c r="B701" s="8" t="s">
        <v>2451</v>
      </c>
      <c r="C701" s="8"/>
      <c r="D701" s="8" t="s">
        <v>2129</v>
      </c>
      <c r="E701" s="8" t="s">
        <v>2451</v>
      </c>
      <c r="F701" s="8" t="s">
        <v>2451</v>
      </c>
      <c r="G701" s="8" t="s">
        <v>2451</v>
      </c>
    </row>
    <row r="702" spans="1:7" outlineLevel="2" x14ac:dyDescent="0.35">
      <c r="A702" s="8" t="s">
        <v>2451</v>
      </c>
      <c r="B702" s="8" t="s">
        <v>2451</v>
      </c>
      <c r="C702" s="8"/>
      <c r="D702" s="8" t="s">
        <v>2130</v>
      </c>
      <c r="E702" s="8" t="s">
        <v>2451</v>
      </c>
      <c r="F702" s="8" t="s">
        <v>2451</v>
      </c>
      <c r="G702" s="8" t="s">
        <v>2451</v>
      </c>
    </row>
    <row r="703" spans="1:7" outlineLevel="2" x14ac:dyDescent="0.35">
      <c r="A703" s="8" t="s">
        <v>2451</v>
      </c>
      <c r="B703" s="8" t="s">
        <v>2451</v>
      </c>
      <c r="C703" s="8"/>
      <c r="D703" s="8" t="s">
        <v>2131</v>
      </c>
      <c r="E703" s="8" t="s">
        <v>2451</v>
      </c>
      <c r="F703" s="8" t="s">
        <v>2451</v>
      </c>
      <c r="G703" s="8" t="s">
        <v>2451</v>
      </c>
    </row>
    <row r="704" spans="1:7" outlineLevel="2" x14ac:dyDescent="0.35">
      <c r="A704" s="8" t="s">
        <v>2451</v>
      </c>
      <c r="B704" s="8" t="s">
        <v>2451</v>
      </c>
      <c r="C704" s="8"/>
      <c r="D704" s="8" t="s">
        <v>2132</v>
      </c>
      <c r="E704" s="8" t="s">
        <v>2451</v>
      </c>
      <c r="F704" s="8" t="s">
        <v>2451</v>
      </c>
      <c r="G704" s="8" t="s">
        <v>2451</v>
      </c>
    </row>
    <row r="705" spans="1:7" outlineLevel="2" x14ac:dyDescent="0.35">
      <c r="A705" s="8" t="s">
        <v>2451</v>
      </c>
      <c r="B705" s="8" t="s">
        <v>2451</v>
      </c>
      <c r="C705" s="8"/>
      <c r="D705" s="8" t="s">
        <v>2133</v>
      </c>
      <c r="E705" s="8" t="s">
        <v>2451</v>
      </c>
      <c r="F705" s="8" t="s">
        <v>2451</v>
      </c>
      <c r="G705" s="8" t="s">
        <v>2451</v>
      </c>
    </row>
    <row r="706" spans="1:7" outlineLevel="1" x14ac:dyDescent="0.35">
      <c r="A706" s="8" t="s">
        <v>229</v>
      </c>
      <c r="B706" s="8" t="s">
        <v>552</v>
      </c>
      <c r="C706" s="8">
        <v>5</v>
      </c>
      <c r="D706" s="8" t="s">
        <v>2451</v>
      </c>
      <c r="E706" s="8" t="s">
        <v>2451</v>
      </c>
      <c r="F706" s="8" t="s">
        <v>2451</v>
      </c>
      <c r="G706" s="8" t="s">
        <v>2451</v>
      </c>
    </row>
    <row r="707" spans="1:7" outlineLevel="2" x14ac:dyDescent="0.35">
      <c r="A707" s="8" t="s">
        <v>2451</v>
      </c>
      <c r="B707" s="8" t="s">
        <v>2451</v>
      </c>
      <c r="C707" s="8"/>
      <c r="D707" s="8" t="s">
        <v>2124</v>
      </c>
      <c r="E707" s="8" t="s">
        <v>2451</v>
      </c>
      <c r="F707" s="8" t="s">
        <v>2451</v>
      </c>
      <c r="G707" s="8" t="s">
        <v>2451</v>
      </c>
    </row>
    <row r="708" spans="1:7" outlineLevel="2" x14ac:dyDescent="0.35">
      <c r="A708" s="8" t="s">
        <v>2451</v>
      </c>
      <c r="B708" s="8" t="s">
        <v>2451</v>
      </c>
      <c r="C708" s="8"/>
      <c r="D708" s="8" t="s">
        <v>2125</v>
      </c>
      <c r="E708" s="8" t="s">
        <v>2451</v>
      </c>
      <c r="F708" s="8" t="s">
        <v>2451</v>
      </c>
      <c r="G708" s="8" t="s">
        <v>2451</v>
      </c>
    </row>
    <row r="709" spans="1:7" outlineLevel="2" x14ac:dyDescent="0.35">
      <c r="A709" s="8" t="s">
        <v>2451</v>
      </c>
      <c r="B709" s="8" t="s">
        <v>2451</v>
      </c>
      <c r="C709" s="8"/>
      <c r="D709" s="8" t="s">
        <v>2126</v>
      </c>
      <c r="E709" s="8" t="s">
        <v>2451</v>
      </c>
      <c r="F709" s="8" t="s">
        <v>2451</v>
      </c>
      <c r="G709" s="8" t="s">
        <v>2451</v>
      </c>
    </row>
    <row r="710" spans="1:7" outlineLevel="2" x14ac:dyDescent="0.35">
      <c r="A710" s="8" t="s">
        <v>2451</v>
      </c>
      <c r="B710" s="8" t="s">
        <v>2451</v>
      </c>
      <c r="C710" s="8"/>
      <c r="D710" s="8" t="s">
        <v>2127</v>
      </c>
      <c r="E710" s="8" t="s">
        <v>2451</v>
      </c>
      <c r="F710" s="8" t="s">
        <v>2451</v>
      </c>
      <c r="G710" s="8" t="s">
        <v>2451</v>
      </c>
    </row>
    <row r="711" spans="1:7" outlineLevel="2" x14ac:dyDescent="0.35">
      <c r="A711" s="8" t="s">
        <v>2451</v>
      </c>
      <c r="B711" s="8" t="s">
        <v>2451</v>
      </c>
      <c r="C711" s="8"/>
      <c r="D711" s="8" t="s">
        <v>2128</v>
      </c>
      <c r="E711" s="8" t="s">
        <v>2451</v>
      </c>
      <c r="F711" s="8" t="s">
        <v>2451</v>
      </c>
      <c r="G711" s="8" t="s">
        <v>2451</v>
      </c>
    </row>
    <row r="712" spans="1:7" outlineLevel="1" x14ac:dyDescent="0.35">
      <c r="A712" s="52" t="s">
        <v>2451</v>
      </c>
      <c r="B712" s="52" t="s">
        <v>2451</v>
      </c>
      <c r="C712" s="52"/>
      <c r="D712" s="52" t="s">
        <v>2451</v>
      </c>
      <c r="E712" s="52" t="s">
        <v>2451</v>
      </c>
      <c r="F712" s="52" t="s">
        <v>2451</v>
      </c>
      <c r="G712" s="52" t="s">
        <v>2451</v>
      </c>
    </row>
    <row r="713" spans="1:7" x14ac:dyDescent="0.35">
      <c r="A713" s="52" t="s">
        <v>2451</v>
      </c>
      <c r="B713" s="52" t="s">
        <v>2451</v>
      </c>
      <c r="C713" s="52"/>
      <c r="D713" s="52" t="s">
        <v>2451</v>
      </c>
      <c r="E713" s="52" t="s">
        <v>2451</v>
      </c>
      <c r="F713" s="52" t="s">
        <v>2451</v>
      </c>
      <c r="G713" s="52" t="s">
        <v>2451</v>
      </c>
    </row>
    <row r="714" spans="1:7" outlineLevel="1" x14ac:dyDescent="0.35">
      <c r="A714" s="8" t="s">
        <v>557</v>
      </c>
      <c r="B714" s="8" t="s">
        <v>2451</v>
      </c>
      <c r="C714" s="8"/>
      <c r="D714" s="8" t="s">
        <v>2451</v>
      </c>
      <c r="E714" s="8" t="s">
        <v>2451</v>
      </c>
      <c r="F714" s="8" t="s">
        <v>2451</v>
      </c>
      <c r="G714" s="8" t="s">
        <v>2451</v>
      </c>
    </row>
    <row r="715" spans="1:7" outlineLevel="1" x14ac:dyDescent="0.35">
      <c r="A715" s="8" t="s">
        <v>2451</v>
      </c>
      <c r="B715" s="8" t="s">
        <v>560</v>
      </c>
      <c r="C715" s="8">
        <v>2</v>
      </c>
      <c r="D715" s="8" t="s">
        <v>2451</v>
      </c>
      <c r="E715" s="8" t="s">
        <v>2451</v>
      </c>
      <c r="F715" s="8" t="s">
        <v>2451</v>
      </c>
      <c r="G715" s="8" t="s">
        <v>2451</v>
      </c>
    </row>
    <row r="716" spans="1:7" outlineLevel="2" x14ac:dyDescent="0.35">
      <c r="A716" s="8" t="s">
        <v>2451</v>
      </c>
      <c r="B716" s="8" t="s">
        <v>2451</v>
      </c>
      <c r="C716" s="8"/>
      <c r="D716" s="8" t="s">
        <v>2321</v>
      </c>
      <c r="E716" s="8" t="s">
        <v>2451</v>
      </c>
      <c r="F716" s="8" t="s">
        <v>2451</v>
      </c>
      <c r="G716" s="8" t="s">
        <v>2451</v>
      </c>
    </row>
    <row r="717" spans="1:7" outlineLevel="2" x14ac:dyDescent="0.35">
      <c r="A717" s="8" t="s">
        <v>2451</v>
      </c>
      <c r="B717" s="8" t="s">
        <v>2451</v>
      </c>
      <c r="C717" s="8"/>
      <c r="D717" s="8" t="s">
        <v>2322</v>
      </c>
      <c r="E717" s="8" t="s">
        <v>2451</v>
      </c>
      <c r="F717" s="8" t="s">
        <v>2451</v>
      </c>
      <c r="G717" s="8" t="s">
        <v>2451</v>
      </c>
    </row>
    <row r="718" spans="1:7" outlineLevel="1" x14ac:dyDescent="0.35">
      <c r="A718" s="8" t="s">
        <v>45</v>
      </c>
      <c r="B718" s="8" t="s">
        <v>564</v>
      </c>
      <c r="C718" s="8">
        <v>2</v>
      </c>
      <c r="D718" s="8" t="s">
        <v>2451</v>
      </c>
      <c r="E718" s="8" t="s">
        <v>2451</v>
      </c>
      <c r="F718" s="8" t="s">
        <v>2451</v>
      </c>
      <c r="G718" s="8" t="s">
        <v>2451</v>
      </c>
    </row>
    <row r="719" spans="1:7" outlineLevel="2" x14ac:dyDescent="0.35">
      <c r="A719" s="8" t="s">
        <v>2451</v>
      </c>
      <c r="B719" s="8" t="s">
        <v>2451</v>
      </c>
      <c r="C719" s="8"/>
      <c r="D719" s="8" t="s">
        <v>2319</v>
      </c>
      <c r="E719" s="8" t="s">
        <v>2451</v>
      </c>
      <c r="F719" s="8" t="s">
        <v>2451</v>
      </c>
      <c r="G719" s="8" t="s">
        <v>2451</v>
      </c>
    </row>
    <row r="720" spans="1:7" outlineLevel="2" x14ac:dyDescent="0.35">
      <c r="A720" s="8" t="s">
        <v>2451</v>
      </c>
      <c r="B720" s="8" t="s">
        <v>2451</v>
      </c>
      <c r="C720" s="8"/>
      <c r="D720" s="8" t="s">
        <v>2320</v>
      </c>
      <c r="E720" s="8" t="s">
        <v>2451</v>
      </c>
      <c r="F720" s="8" t="s">
        <v>2451</v>
      </c>
      <c r="G720" s="8" t="s">
        <v>2451</v>
      </c>
    </row>
    <row r="721" spans="1:7" outlineLevel="1" x14ac:dyDescent="0.35">
      <c r="A721" s="8" t="s">
        <v>45</v>
      </c>
      <c r="B721" s="8" t="s">
        <v>567</v>
      </c>
      <c r="C721" s="8">
        <v>2</v>
      </c>
      <c r="D721" s="8" t="s">
        <v>2451</v>
      </c>
      <c r="E721" s="8" t="s">
        <v>2451</v>
      </c>
      <c r="F721" s="8" t="s">
        <v>2451</v>
      </c>
      <c r="G721" s="8" t="s">
        <v>2451</v>
      </c>
    </row>
    <row r="722" spans="1:7" outlineLevel="2" x14ac:dyDescent="0.35">
      <c r="A722" s="8" t="s">
        <v>2451</v>
      </c>
      <c r="B722" s="8" t="s">
        <v>2451</v>
      </c>
      <c r="C722" s="8"/>
      <c r="D722" s="8" t="s">
        <v>2317</v>
      </c>
      <c r="E722" s="8" t="s">
        <v>2451</v>
      </c>
      <c r="F722" s="8" t="s">
        <v>2451</v>
      </c>
      <c r="G722" s="8" t="s">
        <v>2451</v>
      </c>
    </row>
    <row r="723" spans="1:7" outlineLevel="2" x14ac:dyDescent="0.35">
      <c r="A723" s="8" t="s">
        <v>2451</v>
      </c>
      <c r="B723" s="8" t="s">
        <v>2451</v>
      </c>
      <c r="C723" s="8"/>
      <c r="D723" s="8" t="s">
        <v>2318</v>
      </c>
      <c r="E723" s="8" t="s">
        <v>2451</v>
      </c>
      <c r="F723" s="8" t="s">
        <v>2451</v>
      </c>
      <c r="G723" s="8" t="s">
        <v>2451</v>
      </c>
    </row>
    <row r="724" spans="1:7" outlineLevel="1" x14ac:dyDescent="0.35">
      <c r="A724" s="8" t="s">
        <v>45</v>
      </c>
      <c r="B724" s="8" t="s">
        <v>570</v>
      </c>
      <c r="C724" s="8">
        <v>2</v>
      </c>
      <c r="D724" s="8" t="s">
        <v>2451</v>
      </c>
      <c r="E724" s="8" t="s">
        <v>2451</v>
      </c>
      <c r="F724" s="8" t="s">
        <v>2451</v>
      </c>
      <c r="G724" s="8" t="s">
        <v>2451</v>
      </c>
    </row>
    <row r="725" spans="1:7" outlineLevel="2" x14ac:dyDescent="0.35">
      <c r="A725" s="8" t="s">
        <v>2451</v>
      </c>
      <c r="B725" s="8" t="s">
        <v>2451</v>
      </c>
      <c r="C725" s="8"/>
      <c r="D725" s="8" t="s">
        <v>2315</v>
      </c>
      <c r="E725" s="8" t="s">
        <v>2451</v>
      </c>
      <c r="F725" s="8" t="s">
        <v>2451</v>
      </c>
      <c r="G725" s="8" t="s">
        <v>2451</v>
      </c>
    </row>
    <row r="726" spans="1:7" outlineLevel="2" x14ac:dyDescent="0.35">
      <c r="A726" s="8" t="s">
        <v>2451</v>
      </c>
      <c r="B726" s="8" t="s">
        <v>2451</v>
      </c>
      <c r="C726" s="8"/>
      <c r="D726" s="8" t="s">
        <v>2316</v>
      </c>
      <c r="E726" s="8" t="s">
        <v>2451</v>
      </c>
      <c r="F726" s="8" t="s">
        <v>2451</v>
      </c>
      <c r="G726" s="8" t="s">
        <v>2451</v>
      </c>
    </row>
    <row r="727" spans="1:7" outlineLevel="1" x14ac:dyDescent="0.35">
      <c r="A727" s="8" t="s">
        <v>45</v>
      </c>
      <c r="B727" s="8" t="s">
        <v>573</v>
      </c>
      <c r="C727" s="8">
        <v>2</v>
      </c>
      <c r="D727" s="8" t="s">
        <v>2451</v>
      </c>
      <c r="E727" s="8" t="s">
        <v>2451</v>
      </c>
      <c r="F727" s="8" t="s">
        <v>2451</v>
      </c>
      <c r="G727" s="8" t="s">
        <v>2451</v>
      </c>
    </row>
    <row r="728" spans="1:7" outlineLevel="2" x14ac:dyDescent="0.35">
      <c r="A728" s="8" t="s">
        <v>2451</v>
      </c>
      <c r="B728" s="8" t="s">
        <v>2451</v>
      </c>
      <c r="C728" s="8"/>
      <c r="D728" s="8" t="s">
        <v>2313</v>
      </c>
      <c r="E728" s="8" t="s">
        <v>2451</v>
      </c>
      <c r="F728" s="8" t="s">
        <v>2451</v>
      </c>
      <c r="G728" s="8" t="s">
        <v>2451</v>
      </c>
    </row>
    <row r="729" spans="1:7" outlineLevel="2" x14ac:dyDescent="0.35">
      <c r="A729" s="8" t="s">
        <v>2451</v>
      </c>
      <c r="B729" s="8" t="s">
        <v>2451</v>
      </c>
      <c r="C729" s="8"/>
      <c r="D729" s="8" t="s">
        <v>2314</v>
      </c>
      <c r="E729" s="8" t="s">
        <v>2451</v>
      </c>
      <c r="F729" s="8" t="s">
        <v>2451</v>
      </c>
      <c r="G729" s="8" t="s">
        <v>2451</v>
      </c>
    </row>
    <row r="730" spans="1:7" outlineLevel="1" x14ac:dyDescent="0.35">
      <c r="A730" s="8" t="s">
        <v>296</v>
      </c>
      <c r="B730" s="8" t="s">
        <v>576</v>
      </c>
      <c r="C730" s="8">
        <v>4</v>
      </c>
      <c r="D730" s="8" t="s">
        <v>2451</v>
      </c>
      <c r="E730" s="8" t="s">
        <v>2451</v>
      </c>
      <c r="F730" s="8" t="s">
        <v>2451</v>
      </c>
      <c r="G730" s="8" t="s">
        <v>2451</v>
      </c>
    </row>
    <row r="731" spans="1:7" outlineLevel="2" x14ac:dyDescent="0.35">
      <c r="A731" s="8" t="s">
        <v>2451</v>
      </c>
      <c r="B731" s="8" t="s">
        <v>2451</v>
      </c>
      <c r="C731" s="8"/>
      <c r="D731" s="8" t="s">
        <v>2309</v>
      </c>
      <c r="E731" s="8" t="s">
        <v>2451</v>
      </c>
      <c r="F731" s="8" t="s">
        <v>2451</v>
      </c>
      <c r="G731" s="8" t="s">
        <v>2451</v>
      </c>
    </row>
    <row r="732" spans="1:7" outlineLevel="2" x14ac:dyDescent="0.35">
      <c r="A732" s="8" t="s">
        <v>2451</v>
      </c>
      <c r="B732" s="8" t="s">
        <v>2451</v>
      </c>
      <c r="C732" s="8"/>
      <c r="D732" s="8" t="s">
        <v>2310</v>
      </c>
      <c r="E732" s="8" t="s">
        <v>2451</v>
      </c>
      <c r="F732" s="8" t="s">
        <v>2451</v>
      </c>
      <c r="G732" s="8" t="s">
        <v>2451</v>
      </c>
    </row>
    <row r="733" spans="1:7" outlineLevel="2" x14ac:dyDescent="0.35">
      <c r="A733" s="8" t="s">
        <v>2451</v>
      </c>
      <c r="B733" s="8" t="s">
        <v>2451</v>
      </c>
      <c r="C733" s="8"/>
      <c r="D733" s="8" t="s">
        <v>2311</v>
      </c>
      <c r="E733" s="8" t="s">
        <v>2451</v>
      </c>
      <c r="F733" s="8" t="s">
        <v>2451</v>
      </c>
      <c r="G733" s="8" t="s">
        <v>2451</v>
      </c>
    </row>
    <row r="734" spans="1:7" outlineLevel="2" x14ac:dyDescent="0.35">
      <c r="A734" s="8" t="s">
        <v>2451</v>
      </c>
      <c r="B734" s="8" t="s">
        <v>2451</v>
      </c>
      <c r="C734" s="8"/>
      <c r="D734" s="8" t="s">
        <v>2312</v>
      </c>
      <c r="E734" s="8" t="s">
        <v>2451</v>
      </c>
      <c r="F734" s="8" t="s">
        <v>2451</v>
      </c>
      <c r="G734" s="8" t="s">
        <v>2451</v>
      </c>
    </row>
    <row r="735" spans="1:7" outlineLevel="1" x14ac:dyDescent="0.35">
      <c r="A735" s="8" t="s">
        <v>2451</v>
      </c>
      <c r="B735" s="8" t="s">
        <v>580</v>
      </c>
      <c r="C735" s="8">
        <v>1</v>
      </c>
      <c r="D735" s="8" t="s">
        <v>2451</v>
      </c>
      <c r="E735" s="8" t="s">
        <v>2451</v>
      </c>
      <c r="F735" s="8" t="s">
        <v>2451</v>
      </c>
      <c r="G735" s="8" t="s">
        <v>2451</v>
      </c>
    </row>
    <row r="736" spans="1:7" outlineLevel="1" x14ac:dyDescent="0.35">
      <c r="A736" s="8" t="s">
        <v>2451</v>
      </c>
      <c r="B736" s="8" t="s">
        <v>2451</v>
      </c>
      <c r="C736" s="8"/>
      <c r="D736" s="8" t="s">
        <v>2308</v>
      </c>
      <c r="E736" s="8" t="s">
        <v>2451</v>
      </c>
      <c r="F736" s="8" t="s">
        <v>2451</v>
      </c>
      <c r="G736" s="8" t="s">
        <v>2451</v>
      </c>
    </row>
    <row r="737" spans="1:7" outlineLevel="1" x14ac:dyDescent="0.35">
      <c r="A737" s="8" t="s">
        <v>55</v>
      </c>
      <c r="B737" s="8" t="s">
        <v>584</v>
      </c>
      <c r="C737" s="8">
        <v>1</v>
      </c>
      <c r="D737" s="8" t="s">
        <v>2451</v>
      </c>
      <c r="E737" s="8" t="s">
        <v>2451</v>
      </c>
      <c r="F737" s="8" t="s">
        <v>2451</v>
      </c>
      <c r="G737" s="8" t="s">
        <v>2451</v>
      </c>
    </row>
    <row r="738" spans="1:7" outlineLevel="1" x14ac:dyDescent="0.35">
      <c r="A738" s="8" t="s">
        <v>2451</v>
      </c>
      <c r="B738" s="8" t="s">
        <v>2451</v>
      </c>
      <c r="C738" s="8"/>
      <c r="D738" s="8" t="s">
        <v>2307</v>
      </c>
      <c r="E738" s="8" t="s">
        <v>2451</v>
      </c>
      <c r="F738" s="8" t="s">
        <v>2451</v>
      </c>
      <c r="G738" s="8" t="s">
        <v>2451</v>
      </c>
    </row>
    <row r="739" spans="1:7" outlineLevel="1" x14ac:dyDescent="0.35">
      <c r="A739" s="8" t="s">
        <v>55</v>
      </c>
      <c r="B739" s="8" t="s">
        <v>588</v>
      </c>
      <c r="C739" s="8">
        <v>3</v>
      </c>
      <c r="D739" s="8" t="s">
        <v>2451</v>
      </c>
      <c r="E739" s="8" t="s">
        <v>2451</v>
      </c>
      <c r="F739" s="8" t="s">
        <v>2451</v>
      </c>
      <c r="G739" s="8" t="s">
        <v>2451</v>
      </c>
    </row>
    <row r="740" spans="1:7" outlineLevel="2" x14ac:dyDescent="0.35">
      <c r="A740" s="8" t="s">
        <v>2451</v>
      </c>
      <c r="B740" s="8" t="s">
        <v>2451</v>
      </c>
      <c r="C740" s="8"/>
      <c r="D740" s="8" t="s">
        <v>2304</v>
      </c>
      <c r="E740" s="8" t="s">
        <v>2451</v>
      </c>
      <c r="F740" s="8" t="s">
        <v>2451</v>
      </c>
      <c r="G740" s="8" t="s">
        <v>2451</v>
      </c>
    </row>
    <row r="741" spans="1:7" outlineLevel="2" x14ac:dyDescent="0.35">
      <c r="A741" s="8" t="s">
        <v>2451</v>
      </c>
      <c r="B741" s="8" t="s">
        <v>2451</v>
      </c>
      <c r="C741" s="8"/>
      <c r="D741" s="8" t="s">
        <v>2305</v>
      </c>
      <c r="E741" s="8" t="s">
        <v>2451</v>
      </c>
      <c r="F741" s="8" t="s">
        <v>2451</v>
      </c>
      <c r="G741" s="8" t="s">
        <v>2451</v>
      </c>
    </row>
    <row r="742" spans="1:7" outlineLevel="2" x14ac:dyDescent="0.35">
      <c r="A742" s="8" t="s">
        <v>2451</v>
      </c>
      <c r="B742" s="8" t="s">
        <v>2451</v>
      </c>
      <c r="C742" s="8"/>
      <c r="D742" s="8" t="s">
        <v>2306</v>
      </c>
      <c r="E742" s="8" t="s">
        <v>2451</v>
      </c>
      <c r="F742" s="8" t="s">
        <v>2451</v>
      </c>
      <c r="G742" s="8" t="s">
        <v>2451</v>
      </c>
    </row>
    <row r="743" spans="1:7" outlineLevel="1" x14ac:dyDescent="0.35">
      <c r="A743" s="8" t="s">
        <v>55</v>
      </c>
      <c r="B743" s="8" t="s">
        <v>591</v>
      </c>
      <c r="C743" s="8">
        <v>2</v>
      </c>
      <c r="D743" s="8" t="s">
        <v>2451</v>
      </c>
      <c r="E743" s="8" t="s">
        <v>2451</v>
      </c>
      <c r="F743" s="8" t="s">
        <v>2451</v>
      </c>
      <c r="G743" s="8" t="s">
        <v>2451</v>
      </c>
    </row>
    <row r="744" spans="1:7" outlineLevel="2" x14ac:dyDescent="0.35">
      <c r="A744" s="8" t="s">
        <v>2451</v>
      </c>
      <c r="B744" s="8" t="s">
        <v>2451</v>
      </c>
      <c r="C744" s="8"/>
      <c r="D744" s="8" t="s">
        <v>2302</v>
      </c>
      <c r="E744" s="8" t="s">
        <v>2451</v>
      </c>
      <c r="F744" s="8" t="s">
        <v>2451</v>
      </c>
      <c r="G744" s="8" t="s">
        <v>2451</v>
      </c>
    </row>
    <row r="745" spans="1:7" outlineLevel="2" x14ac:dyDescent="0.35">
      <c r="A745" s="8" t="s">
        <v>2451</v>
      </c>
      <c r="B745" s="8" t="s">
        <v>2451</v>
      </c>
      <c r="C745" s="8"/>
      <c r="D745" s="8" t="s">
        <v>2303</v>
      </c>
      <c r="E745" s="8" t="s">
        <v>2451</v>
      </c>
      <c r="F745" s="8" t="s">
        <v>2451</v>
      </c>
      <c r="G745" s="8" t="s">
        <v>2451</v>
      </c>
    </row>
    <row r="746" spans="1:7" outlineLevel="1" x14ac:dyDescent="0.35">
      <c r="A746" s="8" t="s">
        <v>45</v>
      </c>
      <c r="B746" s="8" t="s">
        <v>594</v>
      </c>
      <c r="C746" s="8">
        <v>3</v>
      </c>
      <c r="D746" s="8" t="s">
        <v>2451</v>
      </c>
      <c r="E746" s="8" t="s">
        <v>2451</v>
      </c>
      <c r="F746" s="8" t="s">
        <v>2451</v>
      </c>
      <c r="G746" s="8" t="s">
        <v>2451</v>
      </c>
    </row>
    <row r="747" spans="1:7" outlineLevel="2" x14ac:dyDescent="0.35">
      <c r="A747" s="8" t="s">
        <v>2451</v>
      </c>
      <c r="B747" s="8" t="s">
        <v>2451</v>
      </c>
      <c r="C747" s="8"/>
      <c r="D747" s="8" t="s">
        <v>2299</v>
      </c>
      <c r="E747" s="8" t="s">
        <v>2451</v>
      </c>
      <c r="F747" s="8" t="s">
        <v>2451</v>
      </c>
      <c r="G747" s="8" t="s">
        <v>2451</v>
      </c>
    </row>
    <row r="748" spans="1:7" outlineLevel="2" x14ac:dyDescent="0.35">
      <c r="A748" s="8" t="s">
        <v>2451</v>
      </c>
      <c r="B748" s="8" t="s">
        <v>2451</v>
      </c>
      <c r="C748" s="8"/>
      <c r="D748" s="8" t="s">
        <v>2300</v>
      </c>
      <c r="E748" s="8" t="s">
        <v>2451</v>
      </c>
      <c r="F748" s="8" t="s">
        <v>2451</v>
      </c>
      <c r="G748" s="8" t="s">
        <v>2451</v>
      </c>
    </row>
    <row r="749" spans="1:7" outlineLevel="2" x14ac:dyDescent="0.35">
      <c r="A749" s="8" t="s">
        <v>2451</v>
      </c>
      <c r="B749" s="8" t="s">
        <v>2451</v>
      </c>
      <c r="C749" s="8"/>
      <c r="D749" s="8" t="s">
        <v>2301</v>
      </c>
      <c r="E749" s="8" t="s">
        <v>2451</v>
      </c>
      <c r="F749" s="8" t="s">
        <v>2451</v>
      </c>
      <c r="G749" s="8" t="s">
        <v>2451</v>
      </c>
    </row>
    <row r="750" spans="1:7" outlineLevel="1" x14ac:dyDescent="0.35">
      <c r="A750" s="8" t="s">
        <v>2451</v>
      </c>
      <c r="B750" s="8" t="s">
        <v>596</v>
      </c>
      <c r="C750" s="8">
        <v>2</v>
      </c>
      <c r="D750" s="8" t="s">
        <v>2451</v>
      </c>
      <c r="E750" s="8" t="s">
        <v>2451</v>
      </c>
      <c r="F750" s="8" t="s">
        <v>2451</v>
      </c>
      <c r="G750" s="8" t="s">
        <v>2451</v>
      </c>
    </row>
    <row r="751" spans="1:7" outlineLevel="2" x14ac:dyDescent="0.35">
      <c r="A751" s="8" t="s">
        <v>2451</v>
      </c>
      <c r="B751" s="8" t="s">
        <v>2451</v>
      </c>
      <c r="C751" s="8"/>
      <c r="D751" s="8" t="s">
        <v>2297</v>
      </c>
      <c r="E751" s="8" t="s">
        <v>2451</v>
      </c>
      <c r="F751" s="8" t="s">
        <v>2451</v>
      </c>
      <c r="G751" s="8" t="s">
        <v>2451</v>
      </c>
    </row>
    <row r="752" spans="1:7" outlineLevel="2" x14ac:dyDescent="0.35">
      <c r="A752" s="8" t="s">
        <v>2451</v>
      </c>
      <c r="B752" s="8" t="s">
        <v>2451</v>
      </c>
      <c r="C752" s="8"/>
      <c r="D752" s="8" t="s">
        <v>2298</v>
      </c>
      <c r="E752" s="8" t="s">
        <v>2451</v>
      </c>
      <c r="F752" s="8" t="s">
        <v>2451</v>
      </c>
      <c r="G752" s="8" t="s">
        <v>2451</v>
      </c>
    </row>
    <row r="753" spans="1:7" outlineLevel="1" x14ac:dyDescent="0.35">
      <c r="A753" s="8" t="s">
        <v>2451</v>
      </c>
      <c r="B753" s="8" t="s">
        <v>599</v>
      </c>
      <c r="C753" s="8">
        <v>2</v>
      </c>
      <c r="D753" s="8" t="s">
        <v>2451</v>
      </c>
      <c r="E753" s="8" t="s">
        <v>2451</v>
      </c>
      <c r="F753" s="8" t="s">
        <v>2451</v>
      </c>
      <c r="G753" s="8" t="s">
        <v>2451</v>
      </c>
    </row>
    <row r="754" spans="1:7" outlineLevel="2" x14ac:dyDescent="0.35">
      <c r="A754" s="8" t="s">
        <v>2451</v>
      </c>
      <c r="B754" s="8" t="s">
        <v>2451</v>
      </c>
      <c r="C754" s="8"/>
      <c r="D754" s="8" t="s">
        <v>2295</v>
      </c>
      <c r="E754" s="8" t="s">
        <v>2451</v>
      </c>
      <c r="F754" s="8" t="s">
        <v>2451</v>
      </c>
      <c r="G754" s="8" t="s">
        <v>2451</v>
      </c>
    </row>
    <row r="755" spans="1:7" outlineLevel="2" x14ac:dyDescent="0.35">
      <c r="A755" s="8" t="s">
        <v>2451</v>
      </c>
      <c r="B755" s="8" t="s">
        <v>2451</v>
      </c>
      <c r="C755" s="8"/>
      <c r="D755" s="8" t="s">
        <v>2296</v>
      </c>
      <c r="E755" s="8" t="s">
        <v>2451</v>
      </c>
      <c r="F755" s="8" t="s">
        <v>2451</v>
      </c>
      <c r="G755" s="8" t="s">
        <v>2451</v>
      </c>
    </row>
    <row r="756" spans="1:7" outlineLevel="1" x14ac:dyDescent="0.35">
      <c r="A756" s="8" t="s">
        <v>2451</v>
      </c>
      <c r="B756" s="8" t="s">
        <v>602</v>
      </c>
      <c r="C756" s="8">
        <v>1</v>
      </c>
      <c r="D756" s="8" t="s">
        <v>2451</v>
      </c>
      <c r="E756" s="8" t="s">
        <v>2451</v>
      </c>
      <c r="F756" s="8" t="s">
        <v>2451</v>
      </c>
      <c r="G756" s="8" t="s">
        <v>2451</v>
      </c>
    </row>
    <row r="757" spans="1:7" outlineLevel="1" x14ac:dyDescent="0.35">
      <c r="A757" s="8" t="s">
        <v>2451</v>
      </c>
      <c r="B757" s="8" t="s">
        <v>2451</v>
      </c>
      <c r="C757" s="8"/>
      <c r="D757" s="8" t="s">
        <v>2294</v>
      </c>
      <c r="E757" s="8" t="s">
        <v>2451</v>
      </c>
      <c r="F757" s="8" t="s">
        <v>2451</v>
      </c>
      <c r="G757" s="8" t="s">
        <v>2451</v>
      </c>
    </row>
    <row r="758" spans="1:7" outlineLevel="1" x14ac:dyDescent="0.35">
      <c r="A758" s="8" t="s">
        <v>268</v>
      </c>
      <c r="B758" s="8" t="s">
        <v>604</v>
      </c>
      <c r="C758" s="8">
        <v>1</v>
      </c>
      <c r="D758" s="8" t="s">
        <v>2451</v>
      </c>
      <c r="E758" s="8" t="s">
        <v>2451</v>
      </c>
      <c r="F758" s="8" t="s">
        <v>2451</v>
      </c>
      <c r="G758" s="8" t="s">
        <v>2451</v>
      </c>
    </row>
    <row r="759" spans="1:7" outlineLevel="1" x14ac:dyDescent="0.35">
      <c r="A759" s="8" t="s">
        <v>2451</v>
      </c>
      <c r="B759" s="8" t="s">
        <v>2451</v>
      </c>
      <c r="C759" s="8"/>
      <c r="D759" s="8" t="s">
        <v>2293</v>
      </c>
      <c r="E759" s="8" t="s">
        <v>2451</v>
      </c>
      <c r="F759" s="8" t="s">
        <v>2451</v>
      </c>
      <c r="G759" s="8" t="s">
        <v>2451</v>
      </c>
    </row>
    <row r="760" spans="1:7" outlineLevel="1" x14ac:dyDescent="0.35">
      <c r="A760" s="8" t="s">
        <v>55</v>
      </c>
      <c r="B760" s="8" t="s">
        <v>606</v>
      </c>
      <c r="C760" s="8"/>
      <c r="D760" s="8" t="s">
        <v>2451</v>
      </c>
      <c r="E760" s="8" t="s">
        <v>2451</v>
      </c>
      <c r="F760" s="8" t="s">
        <v>2451</v>
      </c>
      <c r="G760" s="8" t="s">
        <v>2451</v>
      </c>
    </row>
    <row r="761" spans="1:7" outlineLevel="1" x14ac:dyDescent="0.35">
      <c r="A761" s="8" t="s">
        <v>55</v>
      </c>
      <c r="B761" s="8" t="s">
        <v>609</v>
      </c>
      <c r="C761" s="8"/>
      <c r="D761" s="8" t="s">
        <v>2451</v>
      </c>
      <c r="E761" s="8" t="s">
        <v>2451</v>
      </c>
      <c r="F761" s="8" t="s">
        <v>2451</v>
      </c>
      <c r="G761" s="8" t="s">
        <v>2451</v>
      </c>
    </row>
    <row r="762" spans="1:7" outlineLevel="1" x14ac:dyDescent="0.35">
      <c r="A762" s="8" t="s">
        <v>156</v>
      </c>
      <c r="B762" s="8" t="s">
        <v>612</v>
      </c>
      <c r="C762" s="8">
        <v>1</v>
      </c>
      <c r="D762" s="8" t="s">
        <v>2451</v>
      </c>
      <c r="E762" s="8" t="s">
        <v>2451</v>
      </c>
      <c r="F762" s="8" t="s">
        <v>2451</v>
      </c>
      <c r="G762" s="8" t="s">
        <v>2451</v>
      </c>
    </row>
    <row r="763" spans="1:7" outlineLevel="1" x14ac:dyDescent="0.35">
      <c r="A763" s="8" t="s">
        <v>2451</v>
      </c>
      <c r="B763" s="8" t="s">
        <v>2451</v>
      </c>
      <c r="C763" s="8"/>
      <c r="D763" s="8" t="s">
        <v>2292</v>
      </c>
      <c r="E763" s="8" t="s">
        <v>2451</v>
      </c>
      <c r="F763" s="8" t="s">
        <v>2451</v>
      </c>
      <c r="G763" s="8" t="s">
        <v>2451</v>
      </c>
    </row>
    <row r="764" spans="1:7" outlineLevel="1" x14ac:dyDescent="0.35">
      <c r="A764" s="8" t="s">
        <v>156</v>
      </c>
      <c r="B764" s="8" t="s">
        <v>616</v>
      </c>
      <c r="C764" s="8">
        <v>1</v>
      </c>
      <c r="D764" s="8" t="s">
        <v>2451</v>
      </c>
      <c r="E764" s="8" t="s">
        <v>2451</v>
      </c>
      <c r="F764" s="8" t="s">
        <v>2451</v>
      </c>
      <c r="G764" s="8" t="s">
        <v>2451</v>
      </c>
    </row>
    <row r="765" spans="1:7" outlineLevel="1" x14ac:dyDescent="0.35">
      <c r="A765" s="8" t="s">
        <v>2451</v>
      </c>
      <c r="B765" s="8" t="s">
        <v>2451</v>
      </c>
      <c r="C765" s="8"/>
      <c r="D765" s="8" t="s">
        <v>2291</v>
      </c>
      <c r="E765" s="8" t="s">
        <v>2451</v>
      </c>
      <c r="F765" s="8" t="s">
        <v>2451</v>
      </c>
      <c r="G765" s="8" t="s">
        <v>2451</v>
      </c>
    </row>
    <row r="766" spans="1:7" outlineLevel="1" x14ac:dyDescent="0.35">
      <c r="A766" s="8" t="s">
        <v>39</v>
      </c>
      <c r="B766" s="8" t="s">
        <v>619</v>
      </c>
      <c r="C766" s="8">
        <v>1</v>
      </c>
      <c r="D766" s="8" t="s">
        <v>2451</v>
      </c>
      <c r="E766" s="8" t="s">
        <v>2451</v>
      </c>
      <c r="F766" s="8" t="s">
        <v>2451</v>
      </c>
      <c r="G766" s="8" t="s">
        <v>2451</v>
      </c>
    </row>
    <row r="767" spans="1:7" outlineLevel="1" x14ac:dyDescent="0.35">
      <c r="A767" s="8" t="s">
        <v>2451</v>
      </c>
      <c r="B767" s="8" t="s">
        <v>2451</v>
      </c>
      <c r="C767" s="8"/>
      <c r="D767" s="8" t="s">
        <v>2290</v>
      </c>
      <c r="E767" s="8" t="s">
        <v>2451</v>
      </c>
      <c r="F767" s="8" t="s">
        <v>2451</v>
      </c>
      <c r="G767" s="8" t="s">
        <v>2451</v>
      </c>
    </row>
    <row r="768" spans="1:7" outlineLevel="1" x14ac:dyDescent="0.35">
      <c r="A768" s="8" t="s">
        <v>72</v>
      </c>
      <c r="B768" s="8" t="s">
        <v>622</v>
      </c>
      <c r="C768" s="8">
        <v>1</v>
      </c>
      <c r="D768" s="8" t="s">
        <v>2451</v>
      </c>
      <c r="E768" s="8" t="s">
        <v>2451</v>
      </c>
      <c r="F768" s="8" t="s">
        <v>2451</v>
      </c>
      <c r="G768" s="8" t="s">
        <v>2451</v>
      </c>
    </row>
    <row r="769" spans="1:7" outlineLevel="1" x14ac:dyDescent="0.35">
      <c r="A769" s="8" t="s">
        <v>2451</v>
      </c>
      <c r="B769" s="8" t="s">
        <v>2451</v>
      </c>
      <c r="C769" s="8"/>
      <c r="D769" s="8" t="s">
        <v>2289</v>
      </c>
      <c r="E769" s="8" t="s">
        <v>2451</v>
      </c>
      <c r="F769" s="8" t="s">
        <v>2451</v>
      </c>
      <c r="G769" s="8" t="s">
        <v>2451</v>
      </c>
    </row>
    <row r="770" spans="1:7" outlineLevel="1" x14ac:dyDescent="0.35">
      <c r="A770" s="8" t="s">
        <v>49</v>
      </c>
      <c r="B770" s="8" t="s">
        <v>625</v>
      </c>
      <c r="C770" s="8">
        <v>1</v>
      </c>
      <c r="D770" s="8" t="s">
        <v>2451</v>
      </c>
      <c r="E770" s="8" t="s">
        <v>2451</v>
      </c>
      <c r="F770" s="8" t="s">
        <v>2451</v>
      </c>
      <c r="G770" s="8" t="s">
        <v>2451</v>
      </c>
    </row>
    <row r="771" spans="1:7" outlineLevel="1" x14ac:dyDescent="0.35">
      <c r="A771" s="8" t="s">
        <v>2451</v>
      </c>
      <c r="B771" s="8" t="s">
        <v>2451</v>
      </c>
      <c r="C771" s="8"/>
      <c r="D771" s="8" t="s">
        <v>2288</v>
      </c>
      <c r="E771" s="8" t="s">
        <v>2451</v>
      </c>
      <c r="F771" s="8" t="s">
        <v>2451</v>
      </c>
      <c r="G771" s="8" t="s">
        <v>2451</v>
      </c>
    </row>
    <row r="772" spans="1:7" outlineLevel="1" x14ac:dyDescent="0.35">
      <c r="A772" s="8" t="s">
        <v>2451</v>
      </c>
      <c r="B772" s="8" t="s">
        <v>629</v>
      </c>
      <c r="C772" s="8">
        <v>4</v>
      </c>
      <c r="D772" s="8" t="s">
        <v>2451</v>
      </c>
      <c r="E772" s="8" t="s">
        <v>2451</v>
      </c>
      <c r="F772" s="8" t="s">
        <v>2451</v>
      </c>
      <c r="G772" s="8" t="s">
        <v>2451</v>
      </c>
    </row>
    <row r="773" spans="1:7" outlineLevel="2" x14ac:dyDescent="0.35">
      <c r="A773" s="8" t="s">
        <v>2451</v>
      </c>
      <c r="B773" s="8" t="s">
        <v>2451</v>
      </c>
      <c r="C773" s="8"/>
      <c r="D773" s="8" t="s">
        <v>2284</v>
      </c>
      <c r="E773" s="8" t="s">
        <v>2451</v>
      </c>
      <c r="F773" s="8" t="s">
        <v>2451</v>
      </c>
      <c r="G773" s="8" t="s">
        <v>2451</v>
      </c>
    </row>
    <row r="774" spans="1:7" outlineLevel="2" x14ac:dyDescent="0.35">
      <c r="A774" s="8" t="s">
        <v>2451</v>
      </c>
      <c r="B774" s="8" t="s">
        <v>2451</v>
      </c>
      <c r="C774" s="8"/>
      <c r="D774" s="8" t="s">
        <v>2285</v>
      </c>
      <c r="E774" s="8" t="s">
        <v>2451</v>
      </c>
      <c r="F774" s="8" t="s">
        <v>2451</v>
      </c>
      <c r="G774" s="8" t="s">
        <v>2451</v>
      </c>
    </row>
    <row r="775" spans="1:7" outlineLevel="2" x14ac:dyDescent="0.35">
      <c r="A775" s="8" t="s">
        <v>2451</v>
      </c>
      <c r="B775" s="8" t="s">
        <v>2451</v>
      </c>
      <c r="C775" s="8"/>
      <c r="D775" s="8" t="s">
        <v>2286</v>
      </c>
      <c r="E775" s="8" t="s">
        <v>2451</v>
      </c>
      <c r="F775" s="8" t="s">
        <v>2451</v>
      </c>
      <c r="G775" s="8" t="s">
        <v>2451</v>
      </c>
    </row>
    <row r="776" spans="1:7" outlineLevel="2" x14ac:dyDescent="0.35">
      <c r="A776" s="8" t="s">
        <v>2451</v>
      </c>
      <c r="B776" s="8" t="s">
        <v>2451</v>
      </c>
      <c r="C776" s="8"/>
      <c r="D776" s="8" t="s">
        <v>2287</v>
      </c>
      <c r="E776" s="8" t="s">
        <v>2451</v>
      </c>
      <c r="F776" s="8" t="s">
        <v>2451</v>
      </c>
      <c r="G776" s="8" t="s">
        <v>2451</v>
      </c>
    </row>
    <row r="777" spans="1:7" outlineLevel="1" x14ac:dyDescent="0.35">
      <c r="A777" s="8" t="s">
        <v>2451</v>
      </c>
      <c r="B777" s="8" t="s">
        <v>631</v>
      </c>
      <c r="C777" s="8">
        <v>3</v>
      </c>
      <c r="D777" s="8" t="s">
        <v>2451</v>
      </c>
      <c r="E777" s="8" t="s">
        <v>2451</v>
      </c>
      <c r="F777" s="8" t="s">
        <v>2451</v>
      </c>
      <c r="G777" s="8" t="s">
        <v>2451</v>
      </c>
    </row>
    <row r="778" spans="1:7" outlineLevel="2" x14ac:dyDescent="0.35">
      <c r="A778" s="8" t="s">
        <v>2451</v>
      </c>
      <c r="B778" s="8" t="s">
        <v>2451</v>
      </c>
      <c r="C778" s="8"/>
      <c r="D778" s="8" t="s">
        <v>2281</v>
      </c>
      <c r="E778" s="8" t="s">
        <v>2451</v>
      </c>
      <c r="F778" s="8" t="s">
        <v>2451</v>
      </c>
      <c r="G778" s="8" t="s">
        <v>2451</v>
      </c>
    </row>
    <row r="779" spans="1:7" outlineLevel="2" x14ac:dyDescent="0.35">
      <c r="A779" s="8" t="s">
        <v>2451</v>
      </c>
      <c r="B779" s="8" t="s">
        <v>2451</v>
      </c>
      <c r="C779" s="8"/>
      <c r="D779" s="8" t="s">
        <v>2282</v>
      </c>
      <c r="E779" s="8" t="s">
        <v>2451</v>
      </c>
      <c r="F779" s="8" t="s">
        <v>2451</v>
      </c>
      <c r="G779" s="8" t="s">
        <v>2451</v>
      </c>
    </row>
    <row r="780" spans="1:7" outlineLevel="2" x14ac:dyDescent="0.35">
      <c r="A780" s="8" t="s">
        <v>2451</v>
      </c>
      <c r="B780" s="8" t="s">
        <v>2451</v>
      </c>
      <c r="C780" s="8"/>
      <c r="D780" s="8" t="s">
        <v>2283</v>
      </c>
      <c r="E780" s="8" t="s">
        <v>2451</v>
      </c>
      <c r="F780" s="8" t="s">
        <v>2451</v>
      </c>
      <c r="G780" s="8" t="s">
        <v>2451</v>
      </c>
    </row>
    <row r="781" spans="1:7" outlineLevel="1" x14ac:dyDescent="0.35">
      <c r="A781" s="8" t="s">
        <v>2451</v>
      </c>
      <c r="B781" s="8" t="s">
        <v>634</v>
      </c>
      <c r="C781" s="8">
        <v>4</v>
      </c>
      <c r="D781" s="8" t="s">
        <v>2451</v>
      </c>
      <c r="E781" s="8" t="s">
        <v>2451</v>
      </c>
      <c r="F781" s="8" t="s">
        <v>2451</v>
      </c>
      <c r="G781" s="8" t="s">
        <v>2451</v>
      </c>
    </row>
    <row r="782" spans="1:7" outlineLevel="2" x14ac:dyDescent="0.35">
      <c r="A782" s="8" t="s">
        <v>2451</v>
      </c>
      <c r="B782" s="8" t="s">
        <v>2451</v>
      </c>
      <c r="C782" s="8"/>
      <c r="D782" s="8" t="s">
        <v>2277</v>
      </c>
      <c r="E782" s="8" t="s">
        <v>2451</v>
      </c>
      <c r="F782" s="8" t="s">
        <v>2451</v>
      </c>
      <c r="G782" s="8" t="s">
        <v>2451</v>
      </c>
    </row>
    <row r="783" spans="1:7" outlineLevel="2" x14ac:dyDescent="0.35">
      <c r="A783" s="8" t="s">
        <v>2451</v>
      </c>
      <c r="B783" s="8" t="s">
        <v>2451</v>
      </c>
      <c r="C783" s="8"/>
      <c r="D783" s="8" t="s">
        <v>2278</v>
      </c>
      <c r="E783" s="8" t="s">
        <v>2451</v>
      </c>
      <c r="F783" s="8" t="s">
        <v>2451</v>
      </c>
      <c r="G783" s="8" t="s">
        <v>2451</v>
      </c>
    </row>
    <row r="784" spans="1:7" outlineLevel="2" x14ac:dyDescent="0.35">
      <c r="A784" s="8" t="s">
        <v>2451</v>
      </c>
      <c r="B784" s="8" t="s">
        <v>2451</v>
      </c>
      <c r="C784" s="8"/>
      <c r="D784" s="8" t="s">
        <v>2279</v>
      </c>
      <c r="E784" s="8" t="s">
        <v>2451</v>
      </c>
      <c r="F784" s="8" t="s">
        <v>2451</v>
      </c>
      <c r="G784" s="8" t="s">
        <v>2451</v>
      </c>
    </row>
    <row r="785" spans="1:7" outlineLevel="2" x14ac:dyDescent="0.35">
      <c r="A785" s="8" t="s">
        <v>2451</v>
      </c>
      <c r="B785" s="8" t="s">
        <v>2451</v>
      </c>
      <c r="C785" s="8"/>
      <c r="D785" s="8" t="s">
        <v>2280</v>
      </c>
      <c r="E785" s="8" t="s">
        <v>2451</v>
      </c>
      <c r="F785" s="8" t="s">
        <v>2451</v>
      </c>
      <c r="G785" s="8" t="s">
        <v>2451</v>
      </c>
    </row>
    <row r="786" spans="1:7" outlineLevel="1" x14ac:dyDescent="0.35">
      <c r="A786" s="8" t="s">
        <v>2451</v>
      </c>
      <c r="B786" s="8" t="s">
        <v>637</v>
      </c>
      <c r="C786" s="8">
        <v>2</v>
      </c>
      <c r="D786" s="8" t="s">
        <v>2451</v>
      </c>
      <c r="E786" s="8" t="s">
        <v>2451</v>
      </c>
      <c r="F786" s="8" t="s">
        <v>2451</v>
      </c>
      <c r="G786" s="8" t="s">
        <v>2451</v>
      </c>
    </row>
    <row r="787" spans="1:7" outlineLevel="2" x14ac:dyDescent="0.35">
      <c r="A787" s="8" t="s">
        <v>2451</v>
      </c>
      <c r="B787" s="8" t="s">
        <v>2451</v>
      </c>
      <c r="C787" s="8"/>
      <c r="D787" s="8" t="s">
        <v>2275</v>
      </c>
      <c r="E787" s="8" t="s">
        <v>2451</v>
      </c>
      <c r="F787" s="8" t="s">
        <v>2451</v>
      </c>
      <c r="G787" s="8" t="s">
        <v>2451</v>
      </c>
    </row>
    <row r="788" spans="1:7" outlineLevel="2" x14ac:dyDescent="0.35">
      <c r="A788" s="8" t="s">
        <v>2451</v>
      </c>
      <c r="B788" s="8" t="s">
        <v>2451</v>
      </c>
      <c r="C788" s="8"/>
      <c r="D788" s="8" t="s">
        <v>2276</v>
      </c>
      <c r="E788" s="8" t="s">
        <v>2451</v>
      </c>
      <c r="F788" s="8" t="s">
        <v>2451</v>
      </c>
      <c r="G788" s="8" t="s">
        <v>2451</v>
      </c>
    </row>
    <row r="789" spans="1:7" outlineLevel="1" x14ac:dyDescent="0.35">
      <c r="A789" s="8" t="s">
        <v>2451</v>
      </c>
      <c r="B789" s="8" t="s">
        <v>640</v>
      </c>
      <c r="C789" s="8">
        <v>4</v>
      </c>
      <c r="D789" s="8" t="s">
        <v>2451</v>
      </c>
      <c r="E789" s="8" t="s">
        <v>2451</v>
      </c>
      <c r="F789" s="8" t="s">
        <v>2451</v>
      </c>
      <c r="G789" s="8" t="s">
        <v>2451</v>
      </c>
    </row>
    <row r="790" spans="1:7" outlineLevel="2" x14ac:dyDescent="0.35">
      <c r="A790" s="8" t="s">
        <v>2451</v>
      </c>
      <c r="B790" s="8" t="s">
        <v>2451</v>
      </c>
      <c r="C790" s="8"/>
      <c r="D790" s="8" t="s">
        <v>2271</v>
      </c>
      <c r="E790" s="8" t="s">
        <v>2451</v>
      </c>
      <c r="F790" s="8" t="s">
        <v>2451</v>
      </c>
      <c r="G790" s="8" t="s">
        <v>2451</v>
      </c>
    </row>
    <row r="791" spans="1:7" outlineLevel="2" x14ac:dyDescent="0.35">
      <c r="A791" s="8" t="s">
        <v>2451</v>
      </c>
      <c r="B791" s="8" t="s">
        <v>2451</v>
      </c>
      <c r="C791" s="8"/>
      <c r="D791" s="8" t="s">
        <v>2272</v>
      </c>
      <c r="E791" s="8" t="s">
        <v>2451</v>
      </c>
      <c r="F791" s="8" t="s">
        <v>2451</v>
      </c>
      <c r="G791" s="8" t="s">
        <v>2451</v>
      </c>
    </row>
    <row r="792" spans="1:7" outlineLevel="2" x14ac:dyDescent="0.35">
      <c r="A792" s="8" t="s">
        <v>2451</v>
      </c>
      <c r="B792" s="8" t="s">
        <v>2451</v>
      </c>
      <c r="C792" s="8"/>
      <c r="D792" s="8" t="s">
        <v>2273</v>
      </c>
      <c r="E792" s="8" t="s">
        <v>2451</v>
      </c>
      <c r="F792" s="8" t="s">
        <v>2451</v>
      </c>
      <c r="G792" s="8" t="s">
        <v>2451</v>
      </c>
    </row>
    <row r="793" spans="1:7" outlineLevel="2" x14ac:dyDescent="0.35">
      <c r="A793" s="8" t="s">
        <v>2451</v>
      </c>
      <c r="B793" s="8" t="s">
        <v>2451</v>
      </c>
      <c r="C793" s="8"/>
      <c r="D793" s="8" t="s">
        <v>2274</v>
      </c>
      <c r="E793" s="8" t="s">
        <v>2451</v>
      </c>
      <c r="F793" s="8" t="s">
        <v>2451</v>
      </c>
      <c r="G793" s="8" t="s">
        <v>2451</v>
      </c>
    </row>
    <row r="794" spans="1:7" outlineLevel="1" x14ac:dyDescent="0.35">
      <c r="A794" s="8" t="s">
        <v>2451</v>
      </c>
      <c r="B794" s="8" t="s">
        <v>643</v>
      </c>
      <c r="C794" s="8">
        <v>4</v>
      </c>
      <c r="D794" s="8" t="s">
        <v>2451</v>
      </c>
      <c r="E794" s="8" t="s">
        <v>2451</v>
      </c>
      <c r="F794" s="8" t="s">
        <v>2451</v>
      </c>
      <c r="G794" s="8" t="s">
        <v>2451</v>
      </c>
    </row>
    <row r="795" spans="1:7" outlineLevel="2" x14ac:dyDescent="0.35">
      <c r="A795" s="8" t="s">
        <v>2451</v>
      </c>
      <c r="B795" s="8" t="s">
        <v>2451</v>
      </c>
      <c r="C795" s="8"/>
      <c r="D795" s="8" t="s">
        <v>2267</v>
      </c>
      <c r="E795" s="8" t="s">
        <v>2451</v>
      </c>
      <c r="F795" s="8" t="s">
        <v>2451</v>
      </c>
      <c r="G795" s="8" t="s">
        <v>2451</v>
      </c>
    </row>
    <row r="796" spans="1:7" outlineLevel="2" x14ac:dyDescent="0.35">
      <c r="A796" s="8" t="s">
        <v>2451</v>
      </c>
      <c r="B796" s="8" t="s">
        <v>2451</v>
      </c>
      <c r="C796" s="8"/>
      <c r="D796" s="8" t="s">
        <v>2268</v>
      </c>
      <c r="E796" s="8" t="s">
        <v>2451</v>
      </c>
      <c r="F796" s="8" t="s">
        <v>2451</v>
      </c>
      <c r="G796" s="8" t="s">
        <v>2451</v>
      </c>
    </row>
    <row r="797" spans="1:7" outlineLevel="2" x14ac:dyDescent="0.35">
      <c r="A797" s="8" t="s">
        <v>2451</v>
      </c>
      <c r="B797" s="8" t="s">
        <v>2451</v>
      </c>
      <c r="C797" s="8"/>
      <c r="D797" s="8" t="s">
        <v>2269</v>
      </c>
      <c r="E797" s="8" t="s">
        <v>2451</v>
      </c>
      <c r="F797" s="8" t="s">
        <v>2451</v>
      </c>
      <c r="G797" s="8" t="s">
        <v>2451</v>
      </c>
    </row>
    <row r="798" spans="1:7" outlineLevel="2" x14ac:dyDescent="0.35">
      <c r="A798" s="8" t="s">
        <v>2451</v>
      </c>
      <c r="B798" s="8" t="s">
        <v>2451</v>
      </c>
      <c r="C798" s="8"/>
      <c r="D798" s="8" t="s">
        <v>2270</v>
      </c>
      <c r="E798" s="8" t="s">
        <v>2451</v>
      </c>
      <c r="F798" s="8" t="s">
        <v>2451</v>
      </c>
      <c r="G798" s="8" t="s">
        <v>2451</v>
      </c>
    </row>
    <row r="799" spans="1:7" outlineLevel="1" x14ac:dyDescent="0.35">
      <c r="A799" s="8" t="s">
        <v>229</v>
      </c>
      <c r="B799" s="8" t="s">
        <v>646</v>
      </c>
      <c r="C799" s="8">
        <v>7</v>
      </c>
      <c r="D799" s="8" t="s">
        <v>2451</v>
      </c>
      <c r="E799" s="8" t="s">
        <v>2451</v>
      </c>
      <c r="F799" s="8" t="s">
        <v>2451</v>
      </c>
      <c r="G799" s="8" t="s">
        <v>2451</v>
      </c>
    </row>
    <row r="800" spans="1:7" outlineLevel="2" x14ac:dyDescent="0.35">
      <c r="A800" s="8" t="s">
        <v>2451</v>
      </c>
      <c r="B800" s="8" t="s">
        <v>2451</v>
      </c>
      <c r="C800" s="8"/>
      <c r="D800" s="8" t="s">
        <v>2260</v>
      </c>
      <c r="E800" s="8" t="s">
        <v>2451</v>
      </c>
      <c r="F800" s="8" t="s">
        <v>2451</v>
      </c>
      <c r="G800" s="8" t="s">
        <v>2451</v>
      </c>
    </row>
    <row r="801" spans="1:7" outlineLevel="2" x14ac:dyDescent="0.35">
      <c r="A801" s="8" t="s">
        <v>2451</v>
      </c>
      <c r="B801" s="8" t="s">
        <v>2451</v>
      </c>
      <c r="C801" s="8"/>
      <c r="D801" s="8" t="s">
        <v>2261</v>
      </c>
      <c r="E801" s="8" t="s">
        <v>2451</v>
      </c>
      <c r="F801" s="8" t="s">
        <v>2451</v>
      </c>
      <c r="G801" s="8" t="s">
        <v>2451</v>
      </c>
    </row>
    <row r="802" spans="1:7" outlineLevel="2" x14ac:dyDescent="0.35">
      <c r="A802" s="8" t="s">
        <v>2451</v>
      </c>
      <c r="B802" s="8" t="s">
        <v>2451</v>
      </c>
      <c r="C802" s="8"/>
      <c r="D802" s="8" t="s">
        <v>2262</v>
      </c>
      <c r="E802" s="8" t="s">
        <v>2451</v>
      </c>
      <c r="F802" s="8" t="s">
        <v>2451</v>
      </c>
      <c r="G802" s="8" t="s">
        <v>2451</v>
      </c>
    </row>
    <row r="803" spans="1:7" outlineLevel="2" x14ac:dyDescent="0.35">
      <c r="A803" s="8" t="s">
        <v>2451</v>
      </c>
      <c r="B803" s="8" t="s">
        <v>2451</v>
      </c>
      <c r="C803" s="8"/>
      <c r="D803" s="8" t="s">
        <v>2263</v>
      </c>
      <c r="E803" s="8" t="s">
        <v>2451</v>
      </c>
      <c r="F803" s="8" t="s">
        <v>2451</v>
      </c>
      <c r="G803" s="8" t="s">
        <v>2451</v>
      </c>
    </row>
    <row r="804" spans="1:7" outlineLevel="2" x14ac:dyDescent="0.35">
      <c r="A804" s="8" t="s">
        <v>2451</v>
      </c>
      <c r="B804" s="8" t="s">
        <v>2451</v>
      </c>
      <c r="C804" s="8"/>
      <c r="D804" s="8" t="s">
        <v>2264</v>
      </c>
      <c r="E804" s="8" t="s">
        <v>2451</v>
      </c>
      <c r="F804" s="8" t="s">
        <v>2451</v>
      </c>
      <c r="G804" s="8" t="s">
        <v>2451</v>
      </c>
    </row>
    <row r="805" spans="1:7" outlineLevel="2" x14ac:dyDescent="0.35">
      <c r="A805" s="8" t="s">
        <v>2451</v>
      </c>
      <c r="B805" s="8" t="s">
        <v>2451</v>
      </c>
      <c r="C805" s="8"/>
      <c r="D805" s="8" t="s">
        <v>2265</v>
      </c>
      <c r="E805" s="8" t="s">
        <v>2451</v>
      </c>
      <c r="F805" s="8" t="s">
        <v>2451</v>
      </c>
      <c r="G805" s="8" t="s">
        <v>2451</v>
      </c>
    </row>
    <row r="806" spans="1:7" outlineLevel="2" x14ac:dyDescent="0.35">
      <c r="A806" s="8" t="s">
        <v>2451</v>
      </c>
      <c r="B806" s="8" t="s">
        <v>2451</v>
      </c>
      <c r="C806" s="8"/>
      <c r="D806" s="8" t="s">
        <v>2266</v>
      </c>
      <c r="E806" s="8" t="s">
        <v>2451</v>
      </c>
      <c r="F806" s="8" t="s">
        <v>2451</v>
      </c>
      <c r="G806" s="8" t="s">
        <v>2451</v>
      </c>
    </row>
    <row r="807" spans="1:7" outlineLevel="1" x14ac:dyDescent="0.35">
      <c r="A807" s="8" t="s">
        <v>83</v>
      </c>
      <c r="B807" s="8" t="s">
        <v>650</v>
      </c>
      <c r="C807" s="8">
        <v>3</v>
      </c>
      <c r="D807" s="8" t="s">
        <v>2451</v>
      </c>
      <c r="E807" s="8" t="s">
        <v>2451</v>
      </c>
      <c r="F807" s="8" t="s">
        <v>2451</v>
      </c>
      <c r="G807" s="8" t="s">
        <v>2451</v>
      </c>
    </row>
    <row r="808" spans="1:7" outlineLevel="2" x14ac:dyDescent="0.35">
      <c r="A808" s="8" t="s">
        <v>2451</v>
      </c>
      <c r="B808" s="8" t="s">
        <v>2451</v>
      </c>
      <c r="C808" s="8"/>
      <c r="D808" s="8" t="s">
        <v>2257</v>
      </c>
      <c r="E808" s="8" t="s">
        <v>2451</v>
      </c>
      <c r="F808" s="8" t="s">
        <v>2451</v>
      </c>
      <c r="G808" s="8" t="s">
        <v>2451</v>
      </c>
    </row>
    <row r="809" spans="1:7" outlineLevel="2" x14ac:dyDescent="0.35">
      <c r="A809" s="8" t="s">
        <v>2451</v>
      </c>
      <c r="B809" s="8" t="s">
        <v>2451</v>
      </c>
      <c r="C809" s="8"/>
      <c r="D809" s="8" t="s">
        <v>2258</v>
      </c>
      <c r="E809" s="8" t="s">
        <v>2451</v>
      </c>
      <c r="F809" s="8" t="s">
        <v>2451</v>
      </c>
      <c r="G809" s="8" t="s">
        <v>2451</v>
      </c>
    </row>
    <row r="810" spans="1:7" outlineLevel="2" x14ac:dyDescent="0.35">
      <c r="A810" s="8" t="s">
        <v>2451</v>
      </c>
      <c r="B810" s="8" t="s">
        <v>2451</v>
      </c>
      <c r="C810" s="8"/>
      <c r="D810" s="8" t="s">
        <v>2259</v>
      </c>
      <c r="E810" s="8" t="s">
        <v>2451</v>
      </c>
      <c r="F810" s="8" t="s">
        <v>2451</v>
      </c>
      <c r="G810" s="8" t="s">
        <v>2451</v>
      </c>
    </row>
    <row r="811" spans="1:7" outlineLevel="1" x14ac:dyDescent="0.35">
      <c r="A811" s="8" t="s">
        <v>2451</v>
      </c>
      <c r="B811" s="8" t="s">
        <v>654</v>
      </c>
      <c r="C811" s="8">
        <v>2</v>
      </c>
      <c r="D811" s="8" t="s">
        <v>2451</v>
      </c>
      <c r="E811" s="8" t="s">
        <v>2451</v>
      </c>
      <c r="F811" s="8" t="s">
        <v>2451</v>
      </c>
      <c r="G811" s="8" t="s">
        <v>2451</v>
      </c>
    </row>
    <row r="812" spans="1:7" outlineLevel="2" x14ac:dyDescent="0.35">
      <c r="A812" s="8" t="s">
        <v>2451</v>
      </c>
      <c r="B812" s="8" t="s">
        <v>2451</v>
      </c>
      <c r="C812" s="8"/>
      <c r="D812" s="8" t="s">
        <v>2255</v>
      </c>
      <c r="E812" s="8" t="s">
        <v>2451</v>
      </c>
      <c r="F812" s="8" t="s">
        <v>2451</v>
      </c>
      <c r="G812" s="8" t="s">
        <v>2451</v>
      </c>
    </row>
    <row r="813" spans="1:7" outlineLevel="2" x14ac:dyDescent="0.35">
      <c r="A813" s="8" t="s">
        <v>2451</v>
      </c>
      <c r="B813" s="8" t="s">
        <v>2451</v>
      </c>
      <c r="C813" s="8"/>
      <c r="D813" s="8" t="s">
        <v>2256</v>
      </c>
      <c r="E813" s="8" t="s">
        <v>2451</v>
      </c>
      <c r="F813" s="8" t="s">
        <v>2451</v>
      </c>
      <c r="G813" s="8" t="s">
        <v>2451</v>
      </c>
    </row>
    <row r="814" spans="1:7" outlineLevel="1" x14ac:dyDescent="0.35">
      <c r="A814" s="8" t="s">
        <v>209</v>
      </c>
      <c r="B814" s="8" t="s">
        <v>657</v>
      </c>
      <c r="C814" s="8">
        <v>4</v>
      </c>
      <c r="D814" s="8" t="s">
        <v>2451</v>
      </c>
      <c r="E814" s="8" t="s">
        <v>2451</v>
      </c>
      <c r="F814" s="8" t="s">
        <v>2451</v>
      </c>
      <c r="G814" s="8" t="s">
        <v>2451</v>
      </c>
    </row>
    <row r="815" spans="1:7" outlineLevel="2" x14ac:dyDescent="0.35">
      <c r="A815" s="8" t="s">
        <v>2451</v>
      </c>
      <c r="B815" s="8" t="s">
        <v>2451</v>
      </c>
      <c r="C815" s="8"/>
      <c r="D815" s="8" t="s">
        <v>2251</v>
      </c>
      <c r="E815" s="8" t="s">
        <v>2451</v>
      </c>
      <c r="F815" s="8" t="s">
        <v>2451</v>
      </c>
      <c r="G815" s="8" t="s">
        <v>2451</v>
      </c>
    </row>
    <row r="816" spans="1:7" outlineLevel="2" x14ac:dyDescent="0.35">
      <c r="A816" s="8" t="s">
        <v>2451</v>
      </c>
      <c r="B816" s="8" t="s">
        <v>2451</v>
      </c>
      <c r="C816" s="8"/>
      <c r="D816" s="8" t="s">
        <v>2252</v>
      </c>
      <c r="E816" s="8" t="s">
        <v>2451</v>
      </c>
      <c r="F816" s="8" t="s">
        <v>2451</v>
      </c>
      <c r="G816" s="8" t="s">
        <v>2451</v>
      </c>
    </row>
    <row r="817" spans="1:7" outlineLevel="2" x14ac:dyDescent="0.35">
      <c r="A817" s="8" t="s">
        <v>2451</v>
      </c>
      <c r="B817" s="8" t="s">
        <v>2451</v>
      </c>
      <c r="C817" s="8"/>
      <c r="D817" s="8" t="s">
        <v>2253</v>
      </c>
      <c r="E817" s="8" t="s">
        <v>2451</v>
      </c>
      <c r="F817" s="8" t="s">
        <v>2451</v>
      </c>
      <c r="G817" s="8" t="s">
        <v>2451</v>
      </c>
    </row>
    <row r="818" spans="1:7" outlineLevel="2" x14ac:dyDescent="0.35">
      <c r="A818" s="8" t="s">
        <v>2451</v>
      </c>
      <c r="B818" s="8" t="s">
        <v>2451</v>
      </c>
      <c r="C818" s="8"/>
      <c r="D818" s="8" t="s">
        <v>2254</v>
      </c>
      <c r="E818" s="8" t="s">
        <v>2451</v>
      </c>
      <c r="F818" s="8" t="s">
        <v>2451</v>
      </c>
      <c r="G818" s="8" t="s">
        <v>2451</v>
      </c>
    </row>
    <row r="819" spans="1:7" outlineLevel="1" x14ac:dyDescent="0.35">
      <c r="A819" s="8" t="s">
        <v>2451</v>
      </c>
      <c r="B819" s="8" t="s">
        <v>660</v>
      </c>
      <c r="C819" s="8">
        <v>2</v>
      </c>
      <c r="D819" s="8" t="s">
        <v>2451</v>
      </c>
      <c r="E819" s="8" t="s">
        <v>2451</v>
      </c>
      <c r="F819" s="8" t="s">
        <v>2451</v>
      </c>
      <c r="G819" s="8" t="s">
        <v>2451</v>
      </c>
    </row>
    <row r="820" spans="1:7" outlineLevel="2" x14ac:dyDescent="0.35">
      <c r="A820" s="8" t="s">
        <v>2451</v>
      </c>
      <c r="B820" s="8" t="s">
        <v>2451</v>
      </c>
      <c r="C820" s="8"/>
      <c r="D820" s="8" t="s">
        <v>2249</v>
      </c>
      <c r="E820" s="8" t="s">
        <v>2451</v>
      </c>
      <c r="F820" s="8" t="s">
        <v>2451</v>
      </c>
      <c r="G820" s="8" t="s">
        <v>2451</v>
      </c>
    </row>
    <row r="821" spans="1:7" outlineLevel="2" x14ac:dyDescent="0.35">
      <c r="A821" s="8" t="s">
        <v>2451</v>
      </c>
      <c r="B821" s="8" t="s">
        <v>2451</v>
      </c>
      <c r="C821" s="8"/>
      <c r="D821" s="8" t="s">
        <v>2250</v>
      </c>
      <c r="E821" s="8" t="s">
        <v>2451</v>
      </c>
      <c r="F821" s="8" t="s">
        <v>2451</v>
      </c>
      <c r="G821" s="8" t="s">
        <v>2451</v>
      </c>
    </row>
    <row r="822" spans="1:7" outlineLevel="1" x14ac:dyDescent="0.35">
      <c r="A822" s="8" t="s">
        <v>2451</v>
      </c>
      <c r="B822" s="8" t="s">
        <v>663</v>
      </c>
      <c r="C822" s="8">
        <v>2</v>
      </c>
      <c r="D822" s="8" t="s">
        <v>2451</v>
      </c>
      <c r="E822" s="8" t="s">
        <v>2451</v>
      </c>
      <c r="F822" s="8" t="s">
        <v>2451</v>
      </c>
      <c r="G822" s="8" t="s">
        <v>2451</v>
      </c>
    </row>
    <row r="823" spans="1:7" outlineLevel="2" x14ac:dyDescent="0.35">
      <c r="A823" s="8" t="s">
        <v>2451</v>
      </c>
      <c r="B823" s="8" t="s">
        <v>2451</v>
      </c>
      <c r="C823" s="8"/>
      <c r="D823" s="8" t="s">
        <v>2247</v>
      </c>
      <c r="E823" s="8" t="s">
        <v>2451</v>
      </c>
      <c r="F823" s="8" t="s">
        <v>2451</v>
      </c>
      <c r="G823" s="8" t="s">
        <v>2451</v>
      </c>
    </row>
    <row r="824" spans="1:7" outlineLevel="2" x14ac:dyDescent="0.35">
      <c r="A824" s="8" t="s">
        <v>2451</v>
      </c>
      <c r="B824" s="8" t="s">
        <v>2451</v>
      </c>
      <c r="C824" s="8"/>
      <c r="D824" s="8" t="s">
        <v>2248</v>
      </c>
      <c r="E824" s="8" t="s">
        <v>2451</v>
      </c>
      <c r="F824" s="8" t="s">
        <v>2451</v>
      </c>
      <c r="G824" s="8" t="s">
        <v>2451</v>
      </c>
    </row>
    <row r="825" spans="1:7" outlineLevel="1" x14ac:dyDescent="0.35">
      <c r="A825" s="8" t="s">
        <v>2451</v>
      </c>
      <c r="B825" s="8" t="s">
        <v>666</v>
      </c>
      <c r="C825" s="8">
        <v>1</v>
      </c>
      <c r="D825" s="8" t="s">
        <v>2451</v>
      </c>
      <c r="E825" s="8" t="s">
        <v>2451</v>
      </c>
      <c r="F825" s="8" t="s">
        <v>2451</v>
      </c>
      <c r="G825" s="8" t="s">
        <v>2451</v>
      </c>
    </row>
    <row r="826" spans="1:7" outlineLevel="1" x14ac:dyDescent="0.35">
      <c r="A826" s="8" t="s">
        <v>2451</v>
      </c>
      <c r="B826" s="8" t="s">
        <v>2451</v>
      </c>
      <c r="C826" s="8"/>
      <c r="D826" s="8" t="s">
        <v>2246</v>
      </c>
      <c r="E826" s="8" t="s">
        <v>2451</v>
      </c>
      <c r="F826" s="8" t="s">
        <v>2451</v>
      </c>
      <c r="G826" s="8" t="s">
        <v>2451</v>
      </c>
    </row>
    <row r="827" spans="1:7" outlineLevel="1" x14ac:dyDescent="0.35">
      <c r="A827" s="8" t="s">
        <v>83</v>
      </c>
      <c r="B827" s="8" t="s">
        <v>669</v>
      </c>
      <c r="C827" s="8">
        <v>1</v>
      </c>
      <c r="D827" s="8" t="s">
        <v>2451</v>
      </c>
      <c r="E827" s="8" t="s">
        <v>2451</v>
      </c>
      <c r="F827" s="8" t="s">
        <v>2451</v>
      </c>
      <c r="G827" s="8" t="s">
        <v>2451</v>
      </c>
    </row>
    <row r="828" spans="1:7" outlineLevel="1" x14ac:dyDescent="0.35">
      <c r="A828" s="8" t="s">
        <v>2451</v>
      </c>
      <c r="B828" s="8" t="s">
        <v>2451</v>
      </c>
      <c r="C828" s="8"/>
      <c r="D828" s="8" t="s">
        <v>2245</v>
      </c>
      <c r="E828" s="8" t="s">
        <v>2451</v>
      </c>
      <c r="F828" s="8" t="s">
        <v>2451</v>
      </c>
      <c r="G828" s="8" t="s">
        <v>2451</v>
      </c>
    </row>
    <row r="829" spans="1:7" outlineLevel="1" x14ac:dyDescent="0.35">
      <c r="A829" s="8" t="s">
        <v>229</v>
      </c>
      <c r="B829" s="8" t="s">
        <v>671</v>
      </c>
      <c r="C829" s="8">
        <v>4</v>
      </c>
      <c r="D829" s="8" t="s">
        <v>2451</v>
      </c>
      <c r="E829" s="8" t="s">
        <v>2451</v>
      </c>
      <c r="F829" s="8" t="s">
        <v>2451</v>
      </c>
      <c r="G829" s="8" t="s">
        <v>2451</v>
      </c>
    </row>
    <row r="830" spans="1:7" outlineLevel="2" x14ac:dyDescent="0.35">
      <c r="A830" s="8" t="s">
        <v>2451</v>
      </c>
      <c r="B830" s="8" t="s">
        <v>2451</v>
      </c>
      <c r="C830" s="8"/>
      <c r="D830" s="8" t="s">
        <v>2241</v>
      </c>
      <c r="E830" s="8" t="s">
        <v>2451</v>
      </c>
      <c r="F830" s="8" t="s">
        <v>2451</v>
      </c>
      <c r="G830" s="8" t="s">
        <v>2451</v>
      </c>
    </row>
    <row r="831" spans="1:7" outlineLevel="2" x14ac:dyDescent="0.35">
      <c r="A831" s="8" t="s">
        <v>2451</v>
      </c>
      <c r="B831" s="8" t="s">
        <v>2451</v>
      </c>
      <c r="C831" s="8"/>
      <c r="D831" s="8" t="s">
        <v>2242</v>
      </c>
      <c r="E831" s="8" t="s">
        <v>2451</v>
      </c>
      <c r="F831" s="8" t="s">
        <v>2451</v>
      </c>
      <c r="G831" s="8" t="s">
        <v>2451</v>
      </c>
    </row>
    <row r="832" spans="1:7" outlineLevel="2" x14ac:dyDescent="0.35">
      <c r="A832" s="8" t="s">
        <v>2451</v>
      </c>
      <c r="B832" s="8" t="s">
        <v>2451</v>
      </c>
      <c r="C832" s="8"/>
      <c r="D832" s="8" t="s">
        <v>2243</v>
      </c>
      <c r="E832" s="8" t="s">
        <v>2451</v>
      </c>
      <c r="F832" s="8" t="s">
        <v>2451</v>
      </c>
      <c r="G832" s="8" t="s">
        <v>2451</v>
      </c>
    </row>
    <row r="833" spans="1:7" outlineLevel="2" x14ac:dyDescent="0.35">
      <c r="A833" s="8" t="s">
        <v>2451</v>
      </c>
      <c r="B833" s="8" t="s">
        <v>2451</v>
      </c>
      <c r="C833" s="8"/>
      <c r="D833" s="8" t="s">
        <v>2244</v>
      </c>
      <c r="E833" s="8" t="s">
        <v>2451</v>
      </c>
      <c r="F833" s="8" t="s">
        <v>2451</v>
      </c>
      <c r="G833" s="8" t="s">
        <v>2451</v>
      </c>
    </row>
    <row r="834" spans="1:7" outlineLevel="1" x14ac:dyDescent="0.35">
      <c r="A834" s="8" t="s">
        <v>83</v>
      </c>
      <c r="B834" s="8" t="s">
        <v>673</v>
      </c>
      <c r="C834" s="8">
        <v>3</v>
      </c>
      <c r="D834" s="8" t="s">
        <v>2451</v>
      </c>
      <c r="E834" s="8" t="s">
        <v>2451</v>
      </c>
      <c r="F834" s="8" t="s">
        <v>2451</v>
      </c>
      <c r="G834" s="8" t="s">
        <v>2451</v>
      </c>
    </row>
    <row r="835" spans="1:7" outlineLevel="2" x14ac:dyDescent="0.35">
      <c r="A835" s="8" t="s">
        <v>2451</v>
      </c>
      <c r="B835" s="8" t="s">
        <v>2451</v>
      </c>
      <c r="C835" s="8"/>
      <c r="D835" s="8" t="s">
        <v>2238</v>
      </c>
      <c r="E835" s="8" t="s">
        <v>2451</v>
      </c>
      <c r="F835" s="8" t="s">
        <v>2451</v>
      </c>
      <c r="G835" s="8" t="s">
        <v>2451</v>
      </c>
    </row>
    <row r="836" spans="1:7" outlineLevel="2" x14ac:dyDescent="0.35">
      <c r="A836" s="8" t="s">
        <v>2451</v>
      </c>
      <c r="B836" s="8" t="s">
        <v>2451</v>
      </c>
      <c r="C836" s="8"/>
      <c r="D836" s="8" t="s">
        <v>2239</v>
      </c>
      <c r="E836" s="8" t="s">
        <v>2451</v>
      </c>
      <c r="F836" s="8" t="s">
        <v>2451</v>
      </c>
      <c r="G836" s="8" t="s">
        <v>2451</v>
      </c>
    </row>
    <row r="837" spans="1:7" outlineLevel="2" x14ac:dyDescent="0.35">
      <c r="A837" s="8" t="s">
        <v>2451</v>
      </c>
      <c r="B837" s="8" t="s">
        <v>2451</v>
      </c>
      <c r="C837" s="8"/>
      <c r="D837" s="8" t="s">
        <v>2240</v>
      </c>
      <c r="E837" s="8" t="s">
        <v>2451</v>
      </c>
      <c r="F837" s="8" t="s">
        <v>2451</v>
      </c>
      <c r="G837" s="8" t="s">
        <v>2451</v>
      </c>
    </row>
    <row r="838" spans="1:7" outlineLevel="1" x14ac:dyDescent="0.35">
      <c r="A838" s="8" t="s">
        <v>83</v>
      </c>
      <c r="B838" s="8" t="s">
        <v>674</v>
      </c>
      <c r="C838" s="8">
        <v>4</v>
      </c>
      <c r="D838" s="8" t="s">
        <v>2451</v>
      </c>
      <c r="E838" s="8" t="s">
        <v>2451</v>
      </c>
      <c r="F838" s="8" t="s">
        <v>2451</v>
      </c>
      <c r="G838" s="8" t="s">
        <v>2451</v>
      </c>
    </row>
    <row r="839" spans="1:7" outlineLevel="2" x14ac:dyDescent="0.35">
      <c r="A839" s="8" t="s">
        <v>2451</v>
      </c>
      <c r="B839" s="8" t="s">
        <v>2451</v>
      </c>
      <c r="C839" s="8"/>
      <c r="D839" s="8" t="s">
        <v>2234</v>
      </c>
      <c r="E839" s="8" t="s">
        <v>2451</v>
      </c>
      <c r="F839" s="8" t="s">
        <v>2451</v>
      </c>
      <c r="G839" s="8" t="s">
        <v>2451</v>
      </c>
    </row>
    <row r="840" spans="1:7" outlineLevel="2" x14ac:dyDescent="0.35">
      <c r="A840" s="8" t="s">
        <v>2451</v>
      </c>
      <c r="B840" s="8" t="s">
        <v>2451</v>
      </c>
      <c r="C840" s="8"/>
      <c r="D840" s="8" t="s">
        <v>2235</v>
      </c>
      <c r="E840" s="8" t="s">
        <v>2451</v>
      </c>
      <c r="F840" s="8" t="s">
        <v>2451</v>
      </c>
      <c r="G840" s="8" t="s">
        <v>2451</v>
      </c>
    </row>
    <row r="841" spans="1:7" outlineLevel="2" x14ac:dyDescent="0.35">
      <c r="A841" s="8" t="s">
        <v>2451</v>
      </c>
      <c r="B841" s="8" t="s">
        <v>2451</v>
      </c>
      <c r="C841" s="8"/>
      <c r="D841" s="8" t="s">
        <v>2236</v>
      </c>
      <c r="E841" s="8" t="s">
        <v>2451</v>
      </c>
      <c r="F841" s="8" t="s">
        <v>2451</v>
      </c>
      <c r="G841" s="8" t="s">
        <v>2451</v>
      </c>
    </row>
    <row r="842" spans="1:7" outlineLevel="2" x14ac:dyDescent="0.35">
      <c r="A842" s="8" t="s">
        <v>2451</v>
      </c>
      <c r="B842" s="8" t="s">
        <v>2451</v>
      </c>
      <c r="C842" s="8"/>
      <c r="D842" s="8" t="s">
        <v>2237</v>
      </c>
      <c r="E842" s="8" t="s">
        <v>2451</v>
      </c>
      <c r="F842" s="8" t="s">
        <v>2451</v>
      </c>
      <c r="G842" s="8" t="s">
        <v>2451</v>
      </c>
    </row>
    <row r="843" spans="1:7" outlineLevel="1" x14ac:dyDescent="0.35">
      <c r="A843" s="8" t="s">
        <v>2451</v>
      </c>
      <c r="B843" s="8" t="s">
        <v>675</v>
      </c>
      <c r="C843" s="8">
        <v>4</v>
      </c>
      <c r="D843" s="8" t="s">
        <v>2451</v>
      </c>
      <c r="E843" s="8" t="s">
        <v>2451</v>
      </c>
      <c r="F843" s="8" t="s">
        <v>2451</v>
      </c>
      <c r="G843" s="8" t="s">
        <v>2451</v>
      </c>
    </row>
    <row r="844" spans="1:7" outlineLevel="2" x14ac:dyDescent="0.35">
      <c r="A844" s="8" t="s">
        <v>2451</v>
      </c>
      <c r="B844" s="8" t="s">
        <v>2451</v>
      </c>
      <c r="C844" s="8"/>
      <c r="D844" s="8" t="s">
        <v>2323</v>
      </c>
      <c r="E844" s="8" t="s">
        <v>2451</v>
      </c>
      <c r="F844" s="8" t="s">
        <v>2451</v>
      </c>
      <c r="G844" s="8" t="s">
        <v>2451</v>
      </c>
    </row>
    <row r="845" spans="1:7" outlineLevel="2" x14ac:dyDescent="0.35">
      <c r="A845" s="8" t="s">
        <v>2451</v>
      </c>
      <c r="B845" s="8" t="s">
        <v>2451</v>
      </c>
      <c r="C845" s="8"/>
      <c r="D845" s="8" t="s">
        <v>2324</v>
      </c>
      <c r="E845" s="8" t="s">
        <v>2451</v>
      </c>
      <c r="F845" s="8" t="s">
        <v>2451</v>
      </c>
      <c r="G845" s="8" t="s">
        <v>2451</v>
      </c>
    </row>
    <row r="846" spans="1:7" outlineLevel="2" x14ac:dyDescent="0.35">
      <c r="A846" s="8" t="s">
        <v>2451</v>
      </c>
      <c r="B846" s="8" t="s">
        <v>2451</v>
      </c>
      <c r="C846" s="8"/>
      <c r="D846" s="8" t="s">
        <v>2325</v>
      </c>
      <c r="E846" s="8" t="s">
        <v>2451</v>
      </c>
      <c r="F846" s="8" t="s">
        <v>2451</v>
      </c>
      <c r="G846" s="8" t="s">
        <v>2451</v>
      </c>
    </row>
    <row r="847" spans="1:7" outlineLevel="2" x14ac:dyDescent="0.35">
      <c r="A847" s="8" t="s">
        <v>2451</v>
      </c>
      <c r="B847" s="8" t="s">
        <v>2451</v>
      </c>
      <c r="C847" s="8"/>
      <c r="D847" s="8" t="s">
        <v>2326</v>
      </c>
      <c r="E847" s="8" t="s">
        <v>2451</v>
      </c>
      <c r="F847" s="8" t="s">
        <v>2451</v>
      </c>
      <c r="G847" s="8" t="s">
        <v>2451</v>
      </c>
    </row>
    <row r="848" spans="1:7" outlineLevel="1" x14ac:dyDescent="0.35">
      <c r="A848" s="8" t="s">
        <v>2451</v>
      </c>
      <c r="B848" s="8" t="s">
        <v>676</v>
      </c>
      <c r="C848" s="8">
        <v>2</v>
      </c>
      <c r="D848" s="8" t="s">
        <v>2451</v>
      </c>
      <c r="E848" s="8" t="s">
        <v>2451</v>
      </c>
      <c r="F848" s="8" t="s">
        <v>2451</v>
      </c>
      <c r="G848" s="8" t="s">
        <v>2451</v>
      </c>
    </row>
    <row r="849" spans="1:7" outlineLevel="2" x14ac:dyDescent="0.35">
      <c r="A849" s="8" t="s">
        <v>2451</v>
      </c>
      <c r="B849" s="8" t="s">
        <v>2451</v>
      </c>
      <c r="C849" s="8"/>
      <c r="D849" s="8" t="s">
        <v>2327</v>
      </c>
      <c r="E849" s="8" t="s">
        <v>2451</v>
      </c>
      <c r="F849" s="8" t="s">
        <v>2451</v>
      </c>
      <c r="G849" s="8" t="s">
        <v>2451</v>
      </c>
    </row>
    <row r="850" spans="1:7" outlineLevel="2" x14ac:dyDescent="0.35">
      <c r="A850" s="8" t="s">
        <v>2451</v>
      </c>
      <c r="B850" s="8" t="s">
        <v>2451</v>
      </c>
      <c r="C850" s="8"/>
      <c r="D850" s="8" t="s">
        <v>2328</v>
      </c>
      <c r="E850" s="8" t="s">
        <v>2451</v>
      </c>
      <c r="F850" s="8" t="s">
        <v>2451</v>
      </c>
      <c r="G850" s="8" t="s">
        <v>2451</v>
      </c>
    </row>
    <row r="851" spans="1:7" outlineLevel="1" x14ac:dyDescent="0.35">
      <c r="A851" s="52" t="s">
        <v>2451</v>
      </c>
      <c r="B851" s="52" t="s">
        <v>2451</v>
      </c>
      <c r="C851" s="52"/>
      <c r="D851" s="52" t="s">
        <v>2451</v>
      </c>
      <c r="E851" s="52" t="s">
        <v>2451</v>
      </c>
      <c r="F851" s="52" t="s">
        <v>2451</v>
      </c>
      <c r="G851" s="52" t="s">
        <v>2451</v>
      </c>
    </row>
    <row r="852" spans="1:7" x14ac:dyDescent="0.35">
      <c r="A852" s="52" t="s">
        <v>2451</v>
      </c>
      <c r="B852" s="52" t="s">
        <v>2451</v>
      </c>
      <c r="C852" s="52"/>
      <c r="D852" s="52" t="s">
        <v>2451</v>
      </c>
      <c r="E852" s="52" t="s">
        <v>2451</v>
      </c>
      <c r="F852" s="52" t="s">
        <v>2451</v>
      </c>
      <c r="G852" s="52" t="s">
        <v>2451</v>
      </c>
    </row>
    <row r="853" spans="1:7" x14ac:dyDescent="0.35">
      <c r="A853" s="50" t="s">
        <v>366</v>
      </c>
      <c r="B853" s="47" t="s">
        <v>2451</v>
      </c>
      <c r="C853" s="47"/>
      <c r="D853" s="48" t="s">
        <v>2451</v>
      </c>
      <c r="E853" s="47" t="s">
        <v>2451</v>
      </c>
      <c r="F853" s="47" t="s">
        <v>2451</v>
      </c>
      <c r="G853" s="49" t="s">
        <v>2451</v>
      </c>
    </row>
    <row r="854" spans="1:7" outlineLevel="1" x14ac:dyDescent="0.35">
      <c r="A854" s="8" t="s">
        <v>2451</v>
      </c>
      <c r="B854" s="8" t="s">
        <v>370</v>
      </c>
      <c r="C854" s="8">
        <v>3</v>
      </c>
      <c r="D854" s="8" t="s">
        <v>2451</v>
      </c>
      <c r="E854" s="8" t="s">
        <v>2451</v>
      </c>
      <c r="F854" s="8" t="s">
        <v>2451</v>
      </c>
      <c r="G854" s="8" t="s">
        <v>2451</v>
      </c>
    </row>
    <row r="855" spans="1:7" outlineLevel="2" x14ac:dyDescent="0.35">
      <c r="A855" s="8" t="s">
        <v>2451</v>
      </c>
      <c r="B855" s="8" t="s">
        <v>2451</v>
      </c>
      <c r="C855" s="8"/>
      <c r="D855" s="8" t="s">
        <v>2329</v>
      </c>
      <c r="E855" s="8" t="s">
        <v>2451</v>
      </c>
      <c r="F855" s="8" t="s">
        <v>2451</v>
      </c>
      <c r="G855" s="8" t="s">
        <v>2451</v>
      </c>
    </row>
    <row r="856" spans="1:7" outlineLevel="2" x14ac:dyDescent="0.35">
      <c r="A856" s="8" t="s">
        <v>2451</v>
      </c>
      <c r="B856" s="8" t="s">
        <v>2451</v>
      </c>
      <c r="C856" s="8"/>
      <c r="D856" s="8" t="s">
        <v>2330</v>
      </c>
      <c r="E856" s="8" t="s">
        <v>2451</v>
      </c>
      <c r="F856" s="8" t="s">
        <v>2451</v>
      </c>
      <c r="G856" s="8" t="s">
        <v>2451</v>
      </c>
    </row>
    <row r="857" spans="1:7" outlineLevel="2" x14ac:dyDescent="0.35">
      <c r="A857" s="8" t="s">
        <v>2451</v>
      </c>
      <c r="B857" s="8" t="s">
        <v>2451</v>
      </c>
      <c r="C857" s="8"/>
      <c r="D857" s="8" t="s">
        <v>2331</v>
      </c>
      <c r="E857" s="8" t="s">
        <v>2451</v>
      </c>
      <c r="F857" s="8" t="s">
        <v>2451</v>
      </c>
      <c r="G857" s="8" t="s">
        <v>2451</v>
      </c>
    </row>
    <row r="858" spans="1:7" outlineLevel="1" x14ac:dyDescent="0.35">
      <c r="A858" s="8" t="s">
        <v>2451</v>
      </c>
      <c r="B858" s="8" t="s">
        <v>375</v>
      </c>
      <c r="C858" s="8">
        <v>4</v>
      </c>
      <c r="D858" s="8" t="s">
        <v>2451</v>
      </c>
      <c r="E858" s="8" t="s">
        <v>2451</v>
      </c>
      <c r="F858" s="8" t="s">
        <v>2451</v>
      </c>
      <c r="G858" s="8" t="s">
        <v>2451</v>
      </c>
    </row>
    <row r="859" spans="1:7" outlineLevel="2" x14ac:dyDescent="0.35">
      <c r="A859" s="8" t="s">
        <v>2451</v>
      </c>
      <c r="B859" s="8" t="s">
        <v>2451</v>
      </c>
      <c r="C859" s="8"/>
      <c r="D859" s="8" t="s">
        <v>2332</v>
      </c>
      <c r="E859" s="8" t="s">
        <v>2451</v>
      </c>
      <c r="F859" s="8" t="s">
        <v>2451</v>
      </c>
      <c r="G859" s="8" t="s">
        <v>2451</v>
      </c>
    </row>
    <row r="860" spans="1:7" outlineLevel="2" x14ac:dyDescent="0.35">
      <c r="A860" s="8" t="s">
        <v>2451</v>
      </c>
      <c r="B860" s="8" t="s">
        <v>2451</v>
      </c>
      <c r="C860" s="8"/>
      <c r="D860" s="8" t="s">
        <v>2333</v>
      </c>
      <c r="E860" s="8" t="s">
        <v>2451</v>
      </c>
      <c r="F860" s="8" t="s">
        <v>2451</v>
      </c>
      <c r="G860" s="8" t="s">
        <v>2451</v>
      </c>
    </row>
    <row r="861" spans="1:7" outlineLevel="2" x14ac:dyDescent="0.35">
      <c r="A861" s="8" t="s">
        <v>2451</v>
      </c>
      <c r="B861" s="8" t="s">
        <v>2451</v>
      </c>
      <c r="C861" s="8"/>
      <c r="D861" s="8" t="s">
        <v>2334</v>
      </c>
      <c r="E861" s="8" t="s">
        <v>2451</v>
      </c>
      <c r="F861" s="8" t="s">
        <v>2451</v>
      </c>
      <c r="G861" s="8" t="s">
        <v>2451</v>
      </c>
    </row>
    <row r="862" spans="1:7" outlineLevel="2" x14ac:dyDescent="0.35">
      <c r="A862" s="8" t="s">
        <v>2451</v>
      </c>
      <c r="B862" s="8" t="s">
        <v>2451</v>
      </c>
      <c r="C862" s="8"/>
      <c r="D862" s="8" t="s">
        <v>2335</v>
      </c>
      <c r="E862" s="8" t="s">
        <v>2451</v>
      </c>
      <c r="F862" s="8" t="s">
        <v>2451</v>
      </c>
      <c r="G862" s="8" t="s">
        <v>2451</v>
      </c>
    </row>
    <row r="863" spans="1:7" outlineLevel="1" x14ac:dyDescent="0.35">
      <c r="A863" s="8" t="s">
        <v>2451</v>
      </c>
      <c r="B863" s="8" t="s">
        <v>379</v>
      </c>
      <c r="C863" s="8">
        <v>2</v>
      </c>
      <c r="D863" s="8" t="s">
        <v>2451</v>
      </c>
      <c r="E863" s="8" t="s">
        <v>2451</v>
      </c>
      <c r="F863" s="8" t="s">
        <v>2451</v>
      </c>
      <c r="G863" s="8" t="s">
        <v>2451</v>
      </c>
    </row>
    <row r="864" spans="1:7" outlineLevel="2" x14ac:dyDescent="0.35">
      <c r="A864" s="8" t="s">
        <v>2451</v>
      </c>
      <c r="B864" s="8" t="s">
        <v>2451</v>
      </c>
      <c r="C864" s="8"/>
      <c r="D864" s="8" t="s">
        <v>2336</v>
      </c>
      <c r="E864" s="8" t="s">
        <v>2451</v>
      </c>
      <c r="F864" s="8" t="s">
        <v>2451</v>
      </c>
      <c r="G864" s="8" t="s">
        <v>2451</v>
      </c>
    </row>
    <row r="865" spans="1:7" outlineLevel="2" x14ac:dyDescent="0.35">
      <c r="A865" s="8" t="s">
        <v>2451</v>
      </c>
      <c r="B865" s="8" t="s">
        <v>2451</v>
      </c>
      <c r="C865" s="8"/>
      <c r="D865" s="8" t="s">
        <v>2337</v>
      </c>
      <c r="E865" s="8" t="s">
        <v>2451</v>
      </c>
      <c r="F865" s="8" t="s">
        <v>2451</v>
      </c>
      <c r="G865" s="8" t="s">
        <v>2451</v>
      </c>
    </row>
    <row r="866" spans="1:7" outlineLevel="1" x14ac:dyDescent="0.35">
      <c r="A866" s="8" t="s">
        <v>2451</v>
      </c>
      <c r="B866" s="8" t="s">
        <v>385</v>
      </c>
      <c r="C866" s="8">
        <v>4</v>
      </c>
      <c r="D866" s="8" t="s">
        <v>2451</v>
      </c>
      <c r="E866" s="8" t="s">
        <v>2451</v>
      </c>
      <c r="F866" s="8" t="s">
        <v>2451</v>
      </c>
      <c r="G866" s="8" t="s">
        <v>2451</v>
      </c>
    </row>
    <row r="867" spans="1:7" outlineLevel="2" x14ac:dyDescent="0.35">
      <c r="A867" s="8" t="s">
        <v>2451</v>
      </c>
      <c r="B867" s="8" t="s">
        <v>2451</v>
      </c>
      <c r="C867" s="8"/>
      <c r="D867" s="8" t="s">
        <v>2338</v>
      </c>
      <c r="E867" s="8" t="s">
        <v>2451</v>
      </c>
      <c r="F867" s="8" t="s">
        <v>2451</v>
      </c>
      <c r="G867" s="8" t="s">
        <v>2451</v>
      </c>
    </row>
    <row r="868" spans="1:7" outlineLevel="2" x14ac:dyDescent="0.35">
      <c r="A868" s="8" t="s">
        <v>2451</v>
      </c>
      <c r="B868" s="8" t="s">
        <v>2451</v>
      </c>
      <c r="C868" s="8"/>
      <c r="D868" s="8" t="s">
        <v>2339</v>
      </c>
      <c r="E868" s="8" t="s">
        <v>2451</v>
      </c>
      <c r="F868" s="8" t="s">
        <v>2451</v>
      </c>
      <c r="G868" s="8" t="s">
        <v>2451</v>
      </c>
    </row>
    <row r="869" spans="1:7" outlineLevel="2" x14ac:dyDescent="0.35">
      <c r="A869" s="8" t="s">
        <v>2451</v>
      </c>
      <c r="B869" s="8" t="s">
        <v>2451</v>
      </c>
      <c r="C869" s="8"/>
      <c r="D869" s="8" t="s">
        <v>2340</v>
      </c>
      <c r="E869" s="8" t="s">
        <v>2451</v>
      </c>
      <c r="F869" s="8" t="s">
        <v>2451</v>
      </c>
      <c r="G869" s="8" t="s">
        <v>2451</v>
      </c>
    </row>
    <row r="870" spans="1:7" outlineLevel="2" x14ac:dyDescent="0.35">
      <c r="A870" s="8" t="s">
        <v>2451</v>
      </c>
      <c r="B870" s="8" t="s">
        <v>2451</v>
      </c>
      <c r="C870" s="8"/>
      <c r="D870" s="8" t="s">
        <v>2341</v>
      </c>
      <c r="E870" s="8" t="s">
        <v>2451</v>
      </c>
      <c r="F870" s="8" t="s">
        <v>2451</v>
      </c>
      <c r="G870" s="8" t="s">
        <v>2451</v>
      </c>
    </row>
    <row r="871" spans="1:7" outlineLevel="1" x14ac:dyDescent="0.35">
      <c r="A871" s="8" t="s">
        <v>2451</v>
      </c>
      <c r="B871" s="8" t="s">
        <v>391</v>
      </c>
      <c r="C871" s="8">
        <v>2</v>
      </c>
      <c r="D871" s="8" t="s">
        <v>2451</v>
      </c>
      <c r="E871" s="8" t="s">
        <v>2451</v>
      </c>
      <c r="F871" s="8" t="s">
        <v>2451</v>
      </c>
      <c r="G871" s="8" t="s">
        <v>2451</v>
      </c>
    </row>
    <row r="872" spans="1:7" outlineLevel="2" x14ac:dyDescent="0.35">
      <c r="A872" s="8" t="s">
        <v>2451</v>
      </c>
      <c r="B872" s="8" t="s">
        <v>2451</v>
      </c>
      <c r="C872" s="8"/>
      <c r="D872" s="8" t="s">
        <v>2342</v>
      </c>
      <c r="E872" s="8" t="s">
        <v>2451</v>
      </c>
      <c r="F872" s="8" t="s">
        <v>2451</v>
      </c>
      <c r="G872" s="8" t="s">
        <v>2451</v>
      </c>
    </row>
    <row r="873" spans="1:7" outlineLevel="2" x14ac:dyDescent="0.35">
      <c r="A873" s="8" t="s">
        <v>2451</v>
      </c>
      <c r="B873" s="8" t="s">
        <v>2451</v>
      </c>
      <c r="C873" s="8"/>
      <c r="D873" s="8" t="s">
        <v>2343</v>
      </c>
      <c r="E873" s="8" t="s">
        <v>2451</v>
      </c>
      <c r="F873" s="8" t="s">
        <v>2451</v>
      </c>
      <c r="G873" s="8" t="s">
        <v>2451</v>
      </c>
    </row>
    <row r="874" spans="1:7" outlineLevel="1" x14ac:dyDescent="0.35">
      <c r="A874" s="8" t="s">
        <v>2451</v>
      </c>
      <c r="B874" s="8" t="s">
        <v>397</v>
      </c>
      <c r="C874" s="8">
        <v>1</v>
      </c>
      <c r="D874" s="8" t="s">
        <v>2451</v>
      </c>
      <c r="E874" s="8" t="s">
        <v>2451</v>
      </c>
      <c r="F874" s="8" t="s">
        <v>2451</v>
      </c>
      <c r="G874" s="8" t="s">
        <v>2451</v>
      </c>
    </row>
    <row r="875" spans="1:7" outlineLevel="1" x14ac:dyDescent="0.35">
      <c r="A875" s="8" t="s">
        <v>2451</v>
      </c>
      <c r="B875" s="8" t="s">
        <v>2451</v>
      </c>
      <c r="C875" s="8"/>
      <c r="D875" s="8" t="s">
        <v>2344</v>
      </c>
      <c r="E875" s="8" t="s">
        <v>2451</v>
      </c>
      <c r="F875" s="8" t="s">
        <v>2451</v>
      </c>
      <c r="G875" s="8" t="s">
        <v>2451</v>
      </c>
    </row>
    <row r="876" spans="1:7" outlineLevel="1" x14ac:dyDescent="0.35">
      <c r="A876" s="52" t="s">
        <v>2451</v>
      </c>
      <c r="B876" s="52" t="s">
        <v>2451</v>
      </c>
      <c r="C876" s="52"/>
      <c r="D876" s="52" t="s">
        <v>2451</v>
      </c>
      <c r="E876" s="52" t="s">
        <v>2451</v>
      </c>
      <c r="F876" s="52" t="s">
        <v>2451</v>
      </c>
      <c r="G876" s="52" t="s">
        <v>2451</v>
      </c>
    </row>
    <row r="877" spans="1:7" x14ac:dyDescent="0.35">
      <c r="A877" s="52" t="s">
        <v>2451</v>
      </c>
      <c r="B877" s="52" t="s">
        <v>2451</v>
      </c>
      <c r="C877" s="52"/>
      <c r="D877" s="52" t="s">
        <v>2451</v>
      </c>
      <c r="E877" s="52" t="s">
        <v>2451</v>
      </c>
      <c r="F877" s="52" t="s">
        <v>2451</v>
      </c>
      <c r="G877" s="52" t="s">
        <v>2451</v>
      </c>
    </row>
    <row r="878" spans="1:7" x14ac:dyDescent="0.35">
      <c r="A878" s="50" t="s">
        <v>405</v>
      </c>
      <c r="B878" s="47" t="s">
        <v>2451</v>
      </c>
      <c r="C878" s="47"/>
      <c r="D878" s="48" t="s">
        <v>2451</v>
      </c>
      <c r="E878" s="47" t="s">
        <v>2451</v>
      </c>
      <c r="F878" s="47" t="s">
        <v>2451</v>
      </c>
      <c r="G878" s="49" t="s">
        <v>2451</v>
      </c>
    </row>
    <row r="879" spans="1:7" outlineLevel="1" x14ac:dyDescent="0.35">
      <c r="A879" s="8" t="s">
        <v>59</v>
      </c>
      <c r="B879" s="8" t="s">
        <v>413</v>
      </c>
      <c r="C879" s="8">
        <v>2</v>
      </c>
      <c r="D879" s="8" t="s">
        <v>2451</v>
      </c>
      <c r="E879" s="8" t="s">
        <v>2451</v>
      </c>
      <c r="F879" s="8" t="s">
        <v>2451</v>
      </c>
      <c r="G879" s="8" t="s">
        <v>2451</v>
      </c>
    </row>
    <row r="880" spans="1:7" outlineLevel="2" x14ac:dyDescent="0.35">
      <c r="A880" s="8" t="s">
        <v>2451</v>
      </c>
      <c r="B880" s="8" t="s">
        <v>2451</v>
      </c>
      <c r="C880" s="8"/>
      <c r="D880" s="8" t="s">
        <v>2369</v>
      </c>
      <c r="E880" s="8" t="s">
        <v>2451</v>
      </c>
      <c r="F880" s="8" t="s">
        <v>2451</v>
      </c>
      <c r="G880" s="8" t="s">
        <v>2451</v>
      </c>
    </row>
    <row r="881" spans="1:7" outlineLevel="2" x14ac:dyDescent="0.35">
      <c r="A881" s="8" t="s">
        <v>2451</v>
      </c>
      <c r="B881" s="8" t="s">
        <v>2451</v>
      </c>
      <c r="C881" s="8"/>
      <c r="D881" s="8" t="s">
        <v>2370</v>
      </c>
      <c r="E881" s="8" t="s">
        <v>2451</v>
      </c>
      <c r="F881" s="8" t="s">
        <v>2451</v>
      </c>
      <c r="G881" s="8" t="s">
        <v>2451</v>
      </c>
    </row>
    <row r="882" spans="1:7" outlineLevel="1" x14ac:dyDescent="0.35">
      <c r="A882" s="8" t="s">
        <v>59</v>
      </c>
      <c r="B882" s="8" t="s">
        <v>418</v>
      </c>
      <c r="C882" s="8">
        <v>2</v>
      </c>
      <c r="D882" s="8" t="s">
        <v>2451</v>
      </c>
      <c r="E882" s="8" t="s">
        <v>2451</v>
      </c>
      <c r="F882" s="8" t="s">
        <v>2451</v>
      </c>
      <c r="G882" s="8" t="s">
        <v>2451</v>
      </c>
    </row>
    <row r="883" spans="1:7" outlineLevel="2" x14ac:dyDescent="0.35">
      <c r="A883" s="8" t="s">
        <v>2451</v>
      </c>
      <c r="B883" s="8" t="s">
        <v>2451</v>
      </c>
      <c r="C883" s="8"/>
      <c r="D883" s="8" t="s">
        <v>2367</v>
      </c>
      <c r="E883" s="8" t="s">
        <v>2451</v>
      </c>
      <c r="F883" s="8" t="s">
        <v>2451</v>
      </c>
      <c r="G883" s="8" t="s">
        <v>2451</v>
      </c>
    </row>
    <row r="884" spans="1:7" outlineLevel="2" x14ac:dyDescent="0.35">
      <c r="A884" s="8" t="s">
        <v>2451</v>
      </c>
      <c r="B884" s="8" t="s">
        <v>2451</v>
      </c>
      <c r="C884" s="8"/>
      <c r="D884" s="8" t="s">
        <v>2368</v>
      </c>
      <c r="E884" s="8" t="s">
        <v>2451</v>
      </c>
      <c r="F884" s="8" t="s">
        <v>2451</v>
      </c>
      <c r="G884" s="8" t="s">
        <v>2451</v>
      </c>
    </row>
    <row r="885" spans="1:7" outlineLevel="1" x14ac:dyDescent="0.35">
      <c r="A885" s="8" t="s">
        <v>303</v>
      </c>
      <c r="B885" s="8" t="s">
        <v>423</v>
      </c>
      <c r="C885" s="8">
        <v>4</v>
      </c>
      <c r="D885" s="8" t="s">
        <v>2451</v>
      </c>
      <c r="E885" s="8" t="s">
        <v>2451</v>
      </c>
      <c r="F885" s="8" t="s">
        <v>2451</v>
      </c>
      <c r="G885" s="8" t="s">
        <v>2451</v>
      </c>
    </row>
    <row r="886" spans="1:7" outlineLevel="2" x14ac:dyDescent="0.35">
      <c r="A886" s="8" t="s">
        <v>2451</v>
      </c>
      <c r="B886" s="8" t="s">
        <v>2451</v>
      </c>
      <c r="C886" s="8"/>
      <c r="D886" s="8" t="s">
        <v>2363</v>
      </c>
      <c r="E886" s="8" t="s">
        <v>2451</v>
      </c>
      <c r="F886" s="8" t="s">
        <v>2451</v>
      </c>
      <c r="G886" s="8" t="s">
        <v>2451</v>
      </c>
    </row>
    <row r="887" spans="1:7" outlineLevel="2" x14ac:dyDescent="0.35">
      <c r="A887" s="8" t="s">
        <v>2451</v>
      </c>
      <c r="B887" s="8" t="s">
        <v>2451</v>
      </c>
      <c r="C887" s="8"/>
      <c r="D887" s="8" t="s">
        <v>2364</v>
      </c>
      <c r="E887" s="8" t="s">
        <v>2451</v>
      </c>
      <c r="F887" s="8" t="s">
        <v>2451</v>
      </c>
      <c r="G887" s="8" t="s">
        <v>2451</v>
      </c>
    </row>
    <row r="888" spans="1:7" outlineLevel="2" x14ac:dyDescent="0.35">
      <c r="A888" s="8" t="s">
        <v>2451</v>
      </c>
      <c r="B888" s="8" t="s">
        <v>2451</v>
      </c>
      <c r="C888" s="8"/>
      <c r="D888" s="8" t="s">
        <v>2365</v>
      </c>
      <c r="E888" s="8" t="s">
        <v>2451</v>
      </c>
      <c r="F888" s="8" t="s">
        <v>2451</v>
      </c>
      <c r="G888" s="8" t="s">
        <v>2451</v>
      </c>
    </row>
    <row r="889" spans="1:7" outlineLevel="2" x14ac:dyDescent="0.35">
      <c r="A889" s="8" t="s">
        <v>2451</v>
      </c>
      <c r="B889" s="8" t="s">
        <v>2451</v>
      </c>
      <c r="C889" s="8"/>
      <c r="D889" s="8" t="s">
        <v>2366</v>
      </c>
      <c r="E889" s="8" t="s">
        <v>2451</v>
      </c>
      <c r="F889" s="8" t="s">
        <v>2451</v>
      </c>
      <c r="G889" s="8" t="s">
        <v>2451</v>
      </c>
    </row>
    <row r="890" spans="1:7" outlineLevel="1" x14ac:dyDescent="0.35">
      <c r="A890" s="8" t="s">
        <v>303</v>
      </c>
      <c r="B890" s="8" t="s">
        <v>308</v>
      </c>
      <c r="C890" s="8">
        <v>4</v>
      </c>
      <c r="D890" s="8" t="s">
        <v>2451</v>
      </c>
      <c r="E890" s="8" t="s">
        <v>2451</v>
      </c>
      <c r="F890" s="8" t="s">
        <v>2451</v>
      </c>
      <c r="G890" s="8" t="s">
        <v>2451</v>
      </c>
    </row>
    <row r="891" spans="1:7" outlineLevel="2" x14ac:dyDescent="0.35">
      <c r="A891" s="8" t="s">
        <v>2451</v>
      </c>
      <c r="B891" s="8" t="s">
        <v>2451</v>
      </c>
      <c r="C891" s="8"/>
      <c r="D891" s="8" t="s">
        <v>2359</v>
      </c>
      <c r="E891" s="8" t="s">
        <v>2451</v>
      </c>
      <c r="F891" s="8" t="s">
        <v>2451</v>
      </c>
      <c r="G891" s="8" t="s">
        <v>2451</v>
      </c>
    </row>
    <row r="892" spans="1:7" outlineLevel="2" x14ac:dyDescent="0.35">
      <c r="A892" s="8" t="s">
        <v>2451</v>
      </c>
      <c r="B892" s="8" t="s">
        <v>2451</v>
      </c>
      <c r="C892" s="8"/>
      <c r="D892" s="8" t="s">
        <v>2360</v>
      </c>
      <c r="E892" s="8" t="s">
        <v>2451</v>
      </c>
      <c r="F892" s="8" t="s">
        <v>2451</v>
      </c>
      <c r="G892" s="8" t="s">
        <v>2451</v>
      </c>
    </row>
    <row r="893" spans="1:7" outlineLevel="2" x14ac:dyDescent="0.35">
      <c r="A893" s="8" t="s">
        <v>2451</v>
      </c>
      <c r="B893" s="8" t="s">
        <v>2451</v>
      </c>
      <c r="C893" s="8"/>
      <c r="D893" s="8" t="s">
        <v>2361</v>
      </c>
      <c r="E893" s="8" t="s">
        <v>2451</v>
      </c>
      <c r="F893" s="8" t="s">
        <v>2451</v>
      </c>
      <c r="G893" s="8" t="s">
        <v>2451</v>
      </c>
    </row>
    <row r="894" spans="1:7" outlineLevel="2" x14ac:dyDescent="0.35">
      <c r="A894" s="8" t="s">
        <v>2451</v>
      </c>
      <c r="B894" s="8" t="s">
        <v>2451</v>
      </c>
      <c r="C894" s="8"/>
      <c r="D894" s="8" t="s">
        <v>2362</v>
      </c>
      <c r="E894" s="8" t="s">
        <v>2451</v>
      </c>
      <c r="F894" s="8" t="s">
        <v>2451</v>
      </c>
      <c r="G894" s="8" t="s">
        <v>2451</v>
      </c>
    </row>
    <row r="895" spans="1:7" outlineLevel="1" x14ac:dyDescent="0.35">
      <c r="A895" s="8" t="s">
        <v>354</v>
      </c>
      <c r="B895" s="8" t="s">
        <v>432</v>
      </c>
      <c r="C895" s="8">
        <v>4</v>
      </c>
      <c r="D895" s="8" t="s">
        <v>2451</v>
      </c>
      <c r="E895" s="8" t="s">
        <v>2451</v>
      </c>
      <c r="F895" s="8" t="s">
        <v>2451</v>
      </c>
      <c r="G895" s="8" t="s">
        <v>2451</v>
      </c>
    </row>
    <row r="896" spans="1:7" outlineLevel="2" x14ac:dyDescent="0.35">
      <c r="A896" s="8" t="s">
        <v>2451</v>
      </c>
      <c r="B896" s="8" t="s">
        <v>2451</v>
      </c>
      <c r="C896" s="8"/>
      <c r="D896" s="8" t="s">
        <v>2355</v>
      </c>
      <c r="E896" s="8" t="s">
        <v>2451</v>
      </c>
      <c r="F896" s="8" t="s">
        <v>2451</v>
      </c>
      <c r="G896" s="8" t="s">
        <v>2451</v>
      </c>
    </row>
    <row r="897" spans="1:7" outlineLevel="2" x14ac:dyDescent="0.35">
      <c r="A897" s="8" t="s">
        <v>2451</v>
      </c>
      <c r="B897" s="8" t="s">
        <v>2451</v>
      </c>
      <c r="C897" s="8"/>
      <c r="D897" s="8" t="s">
        <v>2356</v>
      </c>
      <c r="E897" s="8" t="s">
        <v>2451</v>
      </c>
      <c r="F897" s="8" t="s">
        <v>2451</v>
      </c>
      <c r="G897" s="8" t="s">
        <v>2451</v>
      </c>
    </row>
    <row r="898" spans="1:7" outlineLevel="2" x14ac:dyDescent="0.35">
      <c r="A898" s="8" t="s">
        <v>2451</v>
      </c>
      <c r="B898" s="8" t="s">
        <v>2451</v>
      </c>
      <c r="C898" s="8"/>
      <c r="D898" s="8" t="s">
        <v>2357</v>
      </c>
      <c r="E898" s="8" t="s">
        <v>2451</v>
      </c>
      <c r="F898" s="8" t="s">
        <v>2451</v>
      </c>
      <c r="G898" s="8" t="s">
        <v>2451</v>
      </c>
    </row>
    <row r="899" spans="1:7" outlineLevel="2" x14ac:dyDescent="0.35">
      <c r="A899" s="8" t="s">
        <v>2451</v>
      </c>
      <c r="B899" s="8" t="s">
        <v>2451</v>
      </c>
      <c r="C899" s="8"/>
      <c r="D899" s="8" t="s">
        <v>2358</v>
      </c>
      <c r="E899" s="8" t="s">
        <v>2451</v>
      </c>
      <c r="F899" s="8" t="s">
        <v>2451</v>
      </c>
      <c r="G899" s="8" t="s">
        <v>2451</v>
      </c>
    </row>
    <row r="900" spans="1:7" outlineLevel="1" x14ac:dyDescent="0.35">
      <c r="A900" s="8" t="s">
        <v>216</v>
      </c>
      <c r="B900" s="8" t="s">
        <v>436</v>
      </c>
      <c r="C900" s="8">
        <v>10</v>
      </c>
      <c r="D900" s="8" t="s">
        <v>2451</v>
      </c>
      <c r="E900" s="8" t="s">
        <v>2451</v>
      </c>
      <c r="F900" s="8" t="s">
        <v>2451</v>
      </c>
      <c r="G900" s="8" t="s">
        <v>2451</v>
      </c>
    </row>
    <row r="901" spans="1:7" outlineLevel="2" x14ac:dyDescent="0.35">
      <c r="A901" s="8" t="s">
        <v>2451</v>
      </c>
      <c r="B901" s="8" t="s">
        <v>2451</v>
      </c>
      <c r="C901" s="8"/>
      <c r="D901" s="8" t="s">
        <v>2345</v>
      </c>
      <c r="E901" s="8" t="s">
        <v>2451</v>
      </c>
      <c r="F901" s="8" t="s">
        <v>2451</v>
      </c>
      <c r="G901" s="8" t="s">
        <v>2451</v>
      </c>
    </row>
    <row r="902" spans="1:7" outlineLevel="2" x14ac:dyDescent="0.35">
      <c r="A902" s="8" t="s">
        <v>2451</v>
      </c>
      <c r="B902" s="8" t="s">
        <v>2451</v>
      </c>
      <c r="C902" s="8"/>
      <c r="D902" s="8" t="s">
        <v>2346</v>
      </c>
      <c r="E902" s="8" t="s">
        <v>2451</v>
      </c>
      <c r="F902" s="8" t="s">
        <v>2451</v>
      </c>
      <c r="G902" s="8" t="s">
        <v>2451</v>
      </c>
    </row>
    <row r="903" spans="1:7" outlineLevel="2" x14ac:dyDescent="0.35">
      <c r="A903" s="8" t="s">
        <v>2451</v>
      </c>
      <c r="B903" s="8" t="s">
        <v>2451</v>
      </c>
      <c r="C903" s="8"/>
      <c r="D903" s="8" t="s">
        <v>2347</v>
      </c>
      <c r="E903" s="8" t="s">
        <v>2451</v>
      </c>
      <c r="F903" s="8" t="s">
        <v>2451</v>
      </c>
      <c r="G903" s="8" t="s">
        <v>2451</v>
      </c>
    </row>
    <row r="904" spans="1:7" outlineLevel="2" x14ac:dyDescent="0.35">
      <c r="A904" s="8" t="s">
        <v>2451</v>
      </c>
      <c r="B904" s="8" t="s">
        <v>2451</v>
      </c>
      <c r="C904" s="8"/>
      <c r="D904" s="8" t="s">
        <v>2348</v>
      </c>
      <c r="E904" s="8" t="s">
        <v>2451</v>
      </c>
      <c r="F904" s="8" t="s">
        <v>2451</v>
      </c>
      <c r="G904" s="8" t="s">
        <v>2451</v>
      </c>
    </row>
    <row r="905" spans="1:7" outlineLevel="2" x14ac:dyDescent="0.35">
      <c r="A905" s="8" t="s">
        <v>2451</v>
      </c>
      <c r="B905" s="8" t="s">
        <v>2451</v>
      </c>
      <c r="C905" s="8"/>
      <c r="D905" s="8" t="s">
        <v>2349</v>
      </c>
      <c r="E905" s="8" t="s">
        <v>2451</v>
      </c>
      <c r="F905" s="8" t="s">
        <v>2451</v>
      </c>
      <c r="G905" s="8" t="s">
        <v>2451</v>
      </c>
    </row>
    <row r="906" spans="1:7" outlineLevel="2" x14ac:dyDescent="0.35">
      <c r="A906" s="8" t="s">
        <v>2451</v>
      </c>
      <c r="B906" s="8" t="s">
        <v>2451</v>
      </c>
      <c r="C906" s="8"/>
      <c r="D906" s="8" t="s">
        <v>2350</v>
      </c>
      <c r="E906" s="8" t="s">
        <v>2451</v>
      </c>
      <c r="F906" s="8" t="s">
        <v>2451</v>
      </c>
      <c r="G906" s="8" t="s">
        <v>2451</v>
      </c>
    </row>
    <row r="907" spans="1:7" outlineLevel="2" x14ac:dyDescent="0.35">
      <c r="A907" s="8" t="s">
        <v>2451</v>
      </c>
      <c r="B907" s="8" t="s">
        <v>2451</v>
      </c>
      <c r="C907" s="8"/>
      <c r="D907" s="8" t="s">
        <v>2351</v>
      </c>
      <c r="E907" s="8" t="s">
        <v>2451</v>
      </c>
      <c r="F907" s="8" t="s">
        <v>2451</v>
      </c>
      <c r="G907" s="8" t="s">
        <v>2451</v>
      </c>
    </row>
    <row r="908" spans="1:7" outlineLevel="2" x14ac:dyDescent="0.35">
      <c r="A908" s="8" t="s">
        <v>2451</v>
      </c>
      <c r="B908" s="8" t="s">
        <v>2451</v>
      </c>
      <c r="C908" s="8"/>
      <c r="D908" s="8" t="s">
        <v>2352</v>
      </c>
      <c r="E908" s="8" t="s">
        <v>2451</v>
      </c>
      <c r="F908" s="8" t="s">
        <v>2451</v>
      </c>
      <c r="G908" s="8" t="s">
        <v>2451</v>
      </c>
    </row>
    <row r="909" spans="1:7" outlineLevel="2" x14ac:dyDescent="0.35">
      <c r="A909" s="8" t="s">
        <v>2451</v>
      </c>
      <c r="B909" s="8" t="s">
        <v>2451</v>
      </c>
      <c r="C909" s="8"/>
      <c r="D909" s="8" t="s">
        <v>2353</v>
      </c>
      <c r="E909" s="8" t="s">
        <v>2451</v>
      </c>
      <c r="F909" s="8" t="s">
        <v>2451</v>
      </c>
      <c r="G909" s="8" t="s">
        <v>2451</v>
      </c>
    </row>
    <row r="910" spans="1:7" outlineLevel="2" x14ac:dyDescent="0.35">
      <c r="A910" s="8" t="s">
        <v>2451</v>
      </c>
      <c r="B910" s="8" t="s">
        <v>2451</v>
      </c>
      <c r="C910" s="8"/>
      <c r="D910" s="8" t="s">
        <v>2354</v>
      </c>
      <c r="E910" s="8" t="s">
        <v>2451</v>
      </c>
      <c r="F910" s="8" t="s">
        <v>2451</v>
      </c>
      <c r="G910" s="8" t="s">
        <v>2451</v>
      </c>
    </row>
    <row r="911" spans="1:7" outlineLevel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8C28A-D4D8-46DA-8D94-9F6C913507F3}">
  <sheetPr codeName="Sheet5"/>
  <dimension ref="A1:AK385"/>
  <sheetViews>
    <sheetView workbookViewId="0">
      <pane xSplit="5" ySplit="3" topLeftCell="F4" activePane="bottomRight" state="frozen"/>
      <selection pane="topRight" activeCell="E1" sqref="E1"/>
      <selection pane="bottomLeft" activeCell="A2" sqref="A2"/>
      <selection pane="bottomRight" activeCell="H8" sqref="H8"/>
    </sheetView>
  </sheetViews>
  <sheetFormatPr defaultRowHeight="15" customHeight="1" x14ac:dyDescent="0.35"/>
  <cols>
    <col min="1" max="1" width="35.7265625" style="1" bestFit="1" customWidth="1"/>
    <col min="2" max="2" width="16.1796875" style="1" bestFit="1" customWidth="1"/>
    <col min="3" max="3" width="28.453125" bestFit="1" customWidth="1"/>
    <col min="4" max="4" width="9.7265625" style="1" bestFit="1" customWidth="1"/>
    <col min="5" max="5" width="13" style="1" bestFit="1" customWidth="1"/>
    <col min="6" max="6" width="14.26953125" style="1" customWidth="1"/>
    <col min="7" max="7" width="12.81640625" style="1" bestFit="1" customWidth="1"/>
    <col min="8" max="8" width="10.7265625" style="1" bestFit="1" customWidth="1"/>
    <col min="9" max="9" width="11.1796875" style="1" bestFit="1" customWidth="1"/>
    <col min="10" max="10" width="9.7265625" style="1" bestFit="1" customWidth="1"/>
    <col min="11" max="11" width="8.26953125" style="1" bestFit="1" customWidth="1"/>
    <col min="12" max="12" width="10" style="1" bestFit="1" customWidth="1"/>
    <col min="13" max="13" width="9.81640625" style="1" bestFit="1" customWidth="1"/>
    <col min="14" max="14" width="13.1796875" style="1" bestFit="1" customWidth="1"/>
    <col min="15" max="15" width="9.81640625" style="1" bestFit="1" customWidth="1"/>
    <col min="16" max="17" width="9.81640625" style="1" customWidth="1"/>
    <col min="18" max="18" width="10.81640625" style="1" bestFit="1" customWidth="1"/>
    <col min="19" max="19" width="10.1796875" style="27" bestFit="1" customWidth="1"/>
    <col min="20" max="20" width="10.1796875" style="1" customWidth="1"/>
    <col min="21" max="21" width="10.1796875" style="1" bestFit="1" customWidth="1"/>
    <col min="22" max="22" width="10.1796875" style="1" customWidth="1"/>
    <col min="23" max="23" width="15.1796875" style="1" bestFit="1" customWidth="1"/>
    <col min="24" max="24" width="9.453125" style="1" bestFit="1" customWidth="1"/>
    <col min="25" max="25" width="11.81640625" style="1" bestFit="1" customWidth="1"/>
    <col min="26" max="26" width="8.54296875" style="1" bestFit="1" customWidth="1"/>
    <col min="27" max="27" width="15.54296875" style="1" bestFit="1" customWidth="1"/>
    <col min="28" max="28" width="11.81640625" style="1" bestFit="1" customWidth="1"/>
    <col min="29" max="29" width="11.81640625" style="1" customWidth="1"/>
    <col min="30" max="30" width="15.54296875" style="1" bestFit="1" customWidth="1"/>
    <col min="31" max="31" width="11.26953125" style="1" bestFit="1" customWidth="1"/>
    <col min="32" max="36" width="11.26953125" style="1" customWidth="1"/>
  </cols>
  <sheetData>
    <row r="1" spans="1:37" ht="18.399999999999999" customHeight="1" x14ac:dyDescent="0.45"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 t="s">
        <v>677</v>
      </c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</row>
    <row r="2" spans="1:37" ht="18.5" x14ac:dyDescent="0.45">
      <c r="C2" s="35" t="s">
        <v>678</v>
      </c>
      <c r="D2" s="32">
        <f>SUM(D4:D364)</f>
        <v>1478</v>
      </c>
      <c r="E2" s="32">
        <f t="shared" ref="E2:AJ2" si="0">SUM(E4:E364)</f>
        <v>106</v>
      </c>
      <c r="F2" s="32">
        <f t="shared" si="0"/>
        <v>0</v>
      </c>
      <c r="G2" s="32">
        <f t="shared" si="0"/>
        <v>0</v>
      </c>
      <c r="H2" s="32">
        <f t="shared" si="0"/>
        <v>24</v>
      </c>
      <c r="I2" s="32">
        <f t="shared" si="0"/>
        <v>0</v>
      </c>
      <c r="J2" s="32">
        <f t="shared" si="0"/>
        <v>0</v>
      </c>
      <c r="K2" s="32">
        <f t="shared" si="0"/>
        <v>15</v>
      </c>
      <c r="L2" s="32">
        <f t="shared" si="0"/>
        <v>7</v>
      </c>
      <c r="M2" s="32">
        <f t="shared" si="0"/>
        <v>2</v>
      </c>
      <c r="N2" s="32">
        <f t="shared" si="0"/>
        <v>0</v>
      </c>
      <c r="O2" s="32">
        <f t="shared" si="0"/>
        <v>4</v>
      </c>
      <c r="P2" s="32">
        <f t="shared" si="0"/>
        <v>1</v>
      </c>
      <c r="Q2" s="32">
        <f t="shared" si="0"/>
        <v>1</v>
      </c>
      <c r="R2" s="32">
        <f t="shared" si="0"/>
        <v>0</v>
      </c>
      <c r="S2" s="32">
        <f t="shared" ref="S2" si="1">SUM(S4:S364)</f>
        <v>1</v>
      </c>
      <c r="T2" s="32"/>
      <c r="U2" s="32">
        <f t="shared" si="0"/>
        <v>18</v>
      </c>
      <c r="V2" s="32">
        <f t="shared" ref="V2" si="2">SUM(V4:V364)</f>
        <v>1</v>
      </c>
      <c r="W2" s="32">
        <f t="shared" si="0"/>
        <v>1</v>
      </c>
      <c r="X2" s="32">
        <f t="shared" si="0"/>
        <v>5</v>
      </c>
      <c r="Y2" s="32">
        <f t="shared" si="0"/>
        <v>7</v>
      </c>
      <c r="Z2" s="32">
        <f>SUM(Z4:Z364)</f>
        <v>0</v>
      </c>
      <c r="AA2" s="32">
        <f t="shared" si="0"/>
        <v>2</v>
      </c>
      <c r="AB2" s="32">
        <f t="shared" si="0"/>
        <v>2</v>
      </c>
      <c r="AC2" s="32">
        <f t="shared" si="0"/>
        <v>0</v>
      </c>
      <c r="AD2" s="32">
        <f t="shared" si="0"/>
        <v>2</v>
      </c>
      <c r="AE2" s="32">
        <f t="shared" si="0"/>
        <v>1</v>
      </c>
      <c r="AF2" s="32">
        <f t="shared" si="0"/>
        <v>5</v>
      </c>
      <c r="AG2" s="32">
        <f t="shared" si="0"/>
        <v>1</v>
      </c>
      <c r="AH2" s="32">
        <f t="shared" si="0"/>
        <v>3</v>
      </c>
      <c r="AI2" s="32"/>
      <c r="AJ2" s="32">
        <f t="shared" si="0"/>
        <v>1</v>
      </c>
    </row>
    <row r="3" spans="1:37" s="41" customFormat="1" ht="29" x14ac:dyDescent="0.35">
      <c r="A3" s="36" t="s">
        <v>37</v>
      </c>
      <c r="B3" s="36" t="s">
        <v>0</v>
      </c>
      <c r="C3" s="36" t="s">
        <v>679</v>
      </c>
      <c r="D3" s="37" t="s">
        <v>680</v>
      </c>
      <c r="E3" s="37" t="s">
        <v>681</v>
      </c>
      <c r="F3" s="38" t="s">
        <v>682</v>
      </c>
      <c r="G3" s="38" t="s">
        <v>683</v>
      </c>
      <c r="H3" s="38" t="s">
        <v>684</v>
      </c>
      <c r="I3" s="38" t="s">
        <v>685</v>
      </c>
      <c r="J3" s="38" t="s">
        <v>686</v>
      </c>
      <c r="K3" s="38" t="s">
        <v>687</v>
      </c>
      <c r="L3" s="38" t="s">
        <v>688</v>
      </c>
      <c r="M3" s="38" t="s">
        <v>689</v>
      </c>
      <c r="N3" s="38" t="s">
        <v>690</v>
      </c>
      <c r="O3" s="38" t="s">
        <v>691</v>
      </c>
      <c r="P3" s="38" t="s">
        <v>692</v>
      </c>
      <c r="Q3" s="38" t="s">
        <v>693</v>
      </c>
      <c r="R3" s="38" t="s">
        <v>694</v>
      </c>
      <c r="S3" s="39" t="s">
        <v>695</v>
      </c>
      <c r="T3" s="40" t="s">
        <v>696</v>
      </c>
      <c r="U3" s="40" t="s">
        <v>697</v>
      </c>
      <c r="V3" s="40" t="s">
        <v>698</v>
      </c>
      <c r="W3" s="40" t="s">
        <v>699</v>
      </c>
      <c r="X3" s="40" t="s">
        <v>700</v>
      </c>
      <c r="Y3" s="40" t="s">
        <v>701</v>
      </c>
      <c r="Z3" s="40" t="s">
        <v>702</v>
      </c>
      <c r="AA3" s="40" t="s">
        <v>703</v>
      </c>
      <c r="AB3" s="40" t="s">
        <v>704</v>
      </c>
      <c r="AC3" s="40" t="s">
        <v>705</v>
      </c>
      <c r="AD3" s="40" t="s">
        <v>706</v>
      </c>
      <c r="AE3" s="40" t="s">
        <v>707</v>
      </c>
      <c r="AF3" s="40" t="s">
        <v>708</v>
      </c>
      <c r="AG3" s="40" t="s">
        <v>709</v>
      </c>
      <c r="AH3" s="40" t="s">
        <v>710</v>
      </c>
      <c r="AI3" s="40" t="s">
        <v>711</v>
      </c>
      <c r="AJ3" s="40" t="s">
        <v>712</v>
      </c>
      <c r="AK3" s="40"/>
    </row>
    <row r="4" spans="1:37" ht="14.5" x14ac:dyDescent="0.35">
      <c r="A4" s="1" t="str">
        <f>NUCLEO!A3</f>
        <v>F0</v>
      </c>
      <c r="B4" s="1" t="s">
        <v>713</v>
      </c>
      <c r="C4" t="str">
        <f>NUCLEO!B3</f>
        <v xml:space="preserve">NUCLEO-F031K6 </v>
      </c>
      <c r="D4" s="1">
        <f>NUCLEO!D3-Roaming!E4</f>
        <v>6</v>
      </c>
      <c r="E4" s="1">
        <f t="shared" ref="E4:E12" si="3">SUM(F4:AJ4)</f>
        <v>0</v>
      </c>
    </row>
    <row r="5" spans="1:37" ht="14.5" x14ac:dyDescent="0.35">
      <c r="A5" s="1" t="str">
        <f>NUCLEO!A4</f>
        <v>F0</v>
      </c>
      <c r="B5" s="1" t="s">
        <v>713</v>
      </c>
      <c r="C5" t="str">
        <f>NUCLEO!B4</f>
        <v>NUCLEO-F042K6</v>
      </c>
      <c r="D5" s="1">
        <f>NUCLEO!D4-Roaming!E5</f>
        <v>6</v>
      </c>
      <c r="E5" s="1">
        <f t="shared" si="3"/>
        <v>0</v>
      </c>
    </row>
    <row r="6" spans="1:37" ht="14.5" x14ac:dyDescent="0.35">
      <c r="A6" s="1" t="str">
        <f>NUCLEO!A5</f>
        <v>F3</v>
      </c>
      <c r="B6" s="1" t="s">
        <v>713</v>
      </c>
      <c r="C6" t="str">
        <f>NUCLEO!B5</f>
        <v>NUCLEO-F303K8</v>
      </c>
      <c r="D6" s="1">
        <f>NUCLEO!D5-Roaming!E6</f>
        <v>4</v>
      </c>
      <c r="E6" s="1">
        <f t="shared" si="3"/>
        <v>0</v>
      </c>
    </row>
    <row r="7" spans="1:37" ht="14.5" x14ac:dyDescent="0.35">
      <c r="A7" s="1" t="str">
        <f>NUCLEO!A6</f>
        <v>G0</v>
      </c>
      <c r="B7" s="1" t="s">
        <v>713</v>
      </c>
      <c r="C7" t="str">
        <f>NUCLEO!B6</f>
        <v>NUCLEO-G031K8</v>
      </c>
      <c r="D7" s="1">
        <f>NUCLEO!D6-Roaming!E7</f>
        <v>10</v>
      </c>
      <c r="E7" s="1">
        <f t="shared" si="3"/>
        <v>2</v>
      </c>
      <c r="H7" s="1">
        <v>1</v>
      </c>
      <c r="Y7" s="1">
        <v>1</v>
      </c>
    </row>
    <row r="8" spans="1:37" ht="14.5" x14ac:dyDescent="0.35">
      <c r="A8" s="1" t="str">
        <f>NUCLEO!A7</f>
        <v>G4</v>
      </c>
      <c r="B8" s="1" t="s">
        <v>713</v>
      </c>
      <c r="C8" t="str">
        <f>NUCLEO!B7</f>
        <v>NUCLEO-G431K8</v>
      </c>
      <c r="D8" s="1">
        <f>NUCLEO!D7-Roaming!E8</f>
        <v>4</v>
      </c>
      <c r="E8" s="1">
        <f t="shared" si="3"/>
        <v>0</v>
      </c>
    </row>
    <row r="9" spans="1:37" ht="14.5" x14ac:dyDescent="0.35">
      <c r="A9" s="1" t="str">
        <f>NUCLEO!A8</f>
        <v>L0</v>
      </c>
      <c r="B9" s="1" t="s">
        <v>713</v>
      </c>
      <c r="C9" t="str">
        <f>NUCLEO!B8</f>
        <v>NUCLEO-L011K4</v>
      </c>
      <c r="D9" s="1">
        <f>NUCLEO!D8-Roaming!E9</f>
        <v>4</v>
      </c>
      <c r="E9" s="1">
        <f t="shared" si="3"/>
        <v>0</v>
      </c>
    </row>
    <row r="10" spans="1:37" ht="14.5" x14ac:dyDescent="0.35">
      <c r="A10" s="1" t="str">
        <f>NUCLEO!A9</f>
        <v>L0</v>
      </c>
      <c r="B10" s="1" t="s">
        <v>713</v>
      </c>
      <c r="C10" t="str">
        <f>NUCLEO!B9</f>
        <v>NUCLEO-L031K6</v>
      </c>
      <c r="D10" s="1">
        <f>NUCLEO!D9-Roaming!E10</f>
        <v>13</v>
      </c>
      <c r="E10" s="1">
        <f t="shared" si="3"/>
        <v>0</v>
      </c>
    </row>
    <row r="11" spans="1:37" ht="14.5" x14ac:dyDescent="0.35">
      <c r="A11" s="1" t="str">
        <f>NUCLEO!A10</f>
        <v>L4</v>
      </c>
      <c r="B11" s="1" t="s">
        <v>713</v>
      </c>
      <c r="C11" t="str">
        <f>NUCLEO!B10</f>
        <v>NUCLEO-L412KB</v>
      </c>
      <c r="D11" s="1">
        <f>NUCLEO!D10-Roaming!E11</f>
        <v>7</v>
      </c>
      <c r="E11" s="1">
        <f t="shared" si="3"/>
        <v>0</v>
      </c>
    </row>
    <row r="12" spans="1:37" ht="14.5" x14ac:dyDescent="0.35">
      <c r="A12" s="1" t="str">
        <f>NUCLEO!A11</f>
        <v>L4</v>
      </c>
      <c r="B12" s="1" t="s">
        <v>713</v>
      </c>
      <c r="C12" t="str">
        <f>NUCLEO!B11</f>
        <v>NUCLEO-L432KC</v>
      </c>
      <c r="D12" s="1">
        <f>NUCLEO!D11-Roaming!E12</f>
        <v>9</v>
      </c>
      <c r="E12" s="1">
        <f t="shared" si="3"/>
        <v>1</v>
      </c>
      <c r="L12" s="1">
        <v>1</v>
      </c>
    </row>
    <row r="13" spans="1:37" s="24" customFormat="1" ht="14.5" x14ac:dyDescent="0.35">
      <c r="A13" s="26"/>
      <c r="B13" s="26"/>
      <c r="C13" s="25"/>
      <c r="D13" s="31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</row>
    <row r="14" spans="1:37" ht="14.5" x14ac:dyDescent="0.35">
      <c r="A14" s="1" t="str">
        <f>NUCLEO!A15</f>
        <v>C0</v>
      </c>
      <c r="B14" s="1" t="s">
        <v>714</v>
      </c>
      <c r="C14" t="str">
        <f>NUCLEO!B15</f>
        <v>NUCLEO-C031C6</v>
      </c>
      <c r="D14" s="1">
        <f>NUCLEO!D15-Roaming!E14</f>
        <v>11</v>
      </c>
      <c r="E14" s="1">
        <f t="shared" ref="E14" si="4">SUM(F14:AJ14)</f>
        <v>0</v>
      </c>
    </row>
    <row r="15" spans="1:37" ht="14.5" x14ac:dyDescent="0.35">
      <c r="A15" s="1" t="str">
        <f>NUCLEO!A16</f>
        <v>C0</v>
      </c>
      <c r="B15" s="1" t="s">
        <v>714</v>
      </c>
      <c r="C15" t="str">
        <f>NUCLEO!B16</f>
        <v>NUCLEO-C071RB (KS1)</v>
      </c>
      <c r="D15" s="1">
        <f>NUCLEO!D16-Roaming!E15</f>
        <v>6</v>
      </c>
      <c r="E15" s="1">
        <f t="shared" ref="E15:E70" si="5">SUM(F15:AJ15)</f>
        <v>0</v>
      </c>
    </row>
    <row r="16" spans="1:37" ht="14.5" x14ac:dyDescent="0.35">
      <c r="A16" s="1" t="str">
        <f>NUCLEO!A17</f>
        <v>C1</v>
      </c>
      <c r="B16" s="1" t="s">
        <v>714</v>
      </c>
      <c r="C16" t="str">
        <f>NUCLEO!B17</f>
        <v>NUCLEO-C051RB (KS1)</v>
      </c>
      <c r="D16" s="1">
        <f>NUCLEO!D17-Roaming!E16</f>
        <v>4</v>
      </c>
      <c r="E16" s="1">
        <f t="shared" si="5"/>
        <v>0</v>
      </c>
    </row>
    <row r="17" spans="1:33" ht="14.5" x14ac:dyDescent="0.35">
      <c r="A17" s="1" t="str">
        <f>NUCLEO!A18</f>
        <v>C0</v>
      </c>
      <c r="B17" s="1" t="s">
        <v>714</v>
      </c>
      <c r="C17" t="str">
        <f>NUCLEO!B18</f>
        <v>NUCLEO-C092RC (KU1)</v>
      </c>
      <c r="D17" s="1">
        <f>NUCLEO!D18-Roaming!E17</f>
        <v>4</v>
      </c>
      <c r="E17" s="1">
        <f t="shared" si="5"/>
        <v>0</v>
      </c>
    </row>
    <row r="18" spans="1:33" ht="14.5" x14ac:dyDescent="0.35">
      <c r="A18" s="1" t="str">
        <f>NUCLEO!A19</f>
        <v>C5</v>
      </c>
      <c r="B18" s="1" t="s">
        <v>714</v>
      </c>
      <c r="C18" t="str">
        <f>NUCLEO!B19</f>
        <v>NUCLEO-C562RE (Rev Z)</v>
      </c>
      <c r="D18" s="1">
        <f>NUCLEO!D19-Roaming!E18</f>
        <v>3</v>
      </c>
      <c r="E18" s="1">
        <f t="shared" si="5"/>
        <v>0</v>
      </c>
    </row>
    <row r="19" spans="1:33" ht="14.5" x14ac:dyDescent="0.35">
      <c r="A19" s="1" t="str">
        <f>NUCLEO!A20</f>
        <v>F0</v>
      </c>
      <c r="B19" s="1" t="s">
        <v>714</v>
      </c>
      <c r="C19" t="str">
        <f>NUCLEO!B20</f>
        <v>NUCLEO-F030R8</v>
      </c>
      <c r="D19" s="1">
        <f>NUCLEO!D20-Roaming!E19</f>
        <v>4</v>
      </c>
      <c r="E19" s="1">
        <f t="shared" si="5"/>
        <v>2</v>
      </c>
      <c r="H19" s="1">
        <v>1</v>
      </c>
      <c r="K19" s="1">
        <v>1</v>
      </c>
    </row>
    <row r="20" spans="1:33" ht="14.5" x14ac:dyDescent="0.35">
      <c r="A20" s="1" t="str">
        <f>NUCLEO!A21</f>
        <v>F0</v>
      </c>
      <c r="B20" s="1" t="s">
        <v>714</v>
      </c>
      <c r="C20" t="str">
        <f>NUCLEO!B21</f>
        <v>NUCLEO-F070RB</v>
      </c>
      <c r="D20" s="1">
        <f>NUCLEO!D21-Roaming!E20</f>
        <v>3</v>
      </c>
      <c r="E20" s="1">
        <f t="shared" si="5"/>
        <v>0</v>
      </c>
    </row>
    <row r="21" spans="1:33" ht="14.5" x14ac:dyDescent="0.35">
      <c r="A21" s="1" t="str">
        <f>NUCLEO!A22</f>
        <v>F0</v>
      </c>
      <c r="B21" s="1" t="s">
        <v>714</v>
      </c>
      <c r="C21" t="str">
        <f>NUCLEO!B22</f>
        <v>NUCLEO-F072RB</v>
      </c>
      <c r="D21" s="1">
        <f>NUCLEO!D22-Roaming!E21</f>
        <v>7</v>
      </c>
      <c r="E21" s="1">
        <f t="shared" si="5"/>
        <v>1</v>
      </c>
      <c r="L21" s="1">
        <v>1</v>
      </c>
    </row>
    <row r="22" spans="1:33" ht="14.5" x14ac:dyDescent="0.35">
      <c r="A22" s="1" t="str">
        <f>NUCLEO!A23</f>
        <v>F0</v>
      </c>
      <c r="B22" s="1" t="s">
        <v>714</v>
      </c>
      <c r="C22" t="str">
        <f>NUCLEO!B23</f>
        <v>NUCLEO-F091RC</v>
      </c>
      <c r="D22" s="1">
        <f>NUCLEO!D23-Roaming!E22</f>
        <v>6</v>
      </c>
      <c r="E22" s="1">
        <f t="shared" si="5"/>
        <v>1</v>
      </c>
      <c r="H22" s="1">
        <v>1</v>
      </c>
    </row>
    <row r="23" spans="1:33" ht="14.5" x14ac:dyDescent="0.35">
      <c r="A23" s="1" t="str">
        <f>NUCLEO!A24</f>
        <v>F1</v>
      </c>
      <c r="B23" s="1" t="s">
        <v>714</v>
      </c>
      <c r="C23" t="str">
        <f>NUCLEO!B24</f>
        <v>NUCLEO-F103RB</v>
      </c>
      <c r="D23" s="1">
        <f>NUCLEO!D24-Roaming!E23</f>
        <v>6</v>
      </c>
      <c r="E23" s="1">
        <f t="shared" si="5"/>
        <v>1</v>
      </c>
      <c r="T23" s="1">
        <v>1</v>
      </c>
    </row>
    <row r="24" spans="1:33" ht="14.5" x14ac:dyDescent="0.35">
      <c r="A24" s="1" t="str">
        <f>NUCLEO!A25</f>
        <v>F3</v>
      </c>
      <c r="B24" s="1" t="s">
        <v>714</v>
      </c>
      <c r="C24" t="str">
        <f>NUCLEO!B25</f>
        <v>NUCLEO-F302R8</v>
      </c>
      <c r="D24" s="1">
        <f>NUCLEO!D25-Roaming!E24</f>
        <v>4</v>
      </c>
      <c r="E24" s="1">
        <f t="shared" si="5"/>
        <v>1</v>
      </c>
      <c r="AG24" s="1">
        <v>1</v>
      </c>
    </row>
    <row r="25" spans="1:33" ht="14.5" x14ac:dyDescent="0.35">
      <c r="A25" s="1" t="str">
        <f>NUCLEO!A26</f>
        <v>F3</v>
      </c>
      <c r="B25" s="1" t="s">
        <v>714</v>
      </c>
      <c r="C25" t="str">
        <f>NUCLEO!B26</f>
        <v>NUCLEO-F303RE</v>
      </c>
      <c r="D25" s="1">
        <f>NUCLEO!D26-Roaming!E25</f>
        <v>4</v>
      </c>
      <c r="E25" s="1">
        <f t="shared" si="5"/>
        <v>0</v>
      </c>
    </row>
    <row r="26" spans="1:33" ht="14.5" x14ac:dyDescent="0.35">
      <c r="A26" s="1" t="str">
        <f>NUCLEO!A27</f>
        <v>F3</v>
      </c>
      <c r="B26" s="1" t="s">
        <v>714</v>
      </c>
      <c r="C26" t="str">
        <f>NUCLEO!B27</f>
        <v>NUCLEO-F334R8</v>
      </c>
      <c r="D26" s="1">
        <f>NUCLEO!D27-Roaming!E26</f>
        <v>4</v>
      </c>
      <c r="E26" s="1">
        <f t="shared" si="5"/>
        <v>0</v>
      </c>
    </row>
    <row r="27" spans="1:33" ht="14.5" x14ac:dyDescent="0.35">
      <c r="A27" s="1" t="str">
        <f>NUCLEO!A28</f>
        <v>F4</v>
      </c>
      <c r="B27" s="1" t="s">
        <v>714</v>
      </c>
      <c r="C27" t="str">
        <f>NUCLEO!B28</f>
        <v>NUCLEO-F401RE</v>
      </c>
      <c r="D27" s="1">
        <f>NUCLEO!D28-Roaming!E27</f>
        <v>8</v>
      </c>
      <c r="E27" s="1">
        <f t="shared" si="5"/>
        <v>2</v>
      </c>
      <c r="O27" s="1">
        <v>1</v>
      </c>
      <c r="AE27" s="1">
        <v>1</v>
      </c>
    </row>
    <row r="28" spans="1:33" ht="14.5" x14ac:dyDescent="0.35">
      <c r="A28" s="1" t="str">
        <f>NUCLEO!A29</f>
        <v>F4</v>
      </c>
      <c r="B28" s="1" t="s">
        <v>714</v>
      </c>
      <c r="C28" t="str">
        <f>NUCLEO!B29</f>
        <v>NUCLEO-F410RB</v>
      </c>
      <c r="D28" s="1">
        <f>NUCLEO!D29-Roaming!E28</f>
        <v>4</v>
      </c>
      <c r="E28" s="1">
        <f t="shared" si="5"/>
        <v>0</v>
      </c>
    </row>
    <row r="29" spans="1:33" ht="14.5" x14ac:dyDescent="0.35">
      <c r="A29" s="1" t="str">
        <f>NUCLEO!A30</f>
        <v>F5</v>
      </c>
      <c r="B29" s="1" t="s">
        <v>714</v>
      </c>
      <c r="C29" t="str">
        <f>NUCLEO!B30</f>
        <v>NUCLEO-F410RB (AU1)</v>
      </c>
      <c r="D29" s="1">
        <f>NUCLEO!D30-Roaming!E29</f>
        <v>4</v>
      </c>
      <c r="E29" s="1">
        <f t="shared" si="5"/>
        <v>0</v>
      </c>
    </row>
    <row r="30" spans="1:33" ht="14.5" x14ac:dyDescent="0.35">
      <c r="A30" s="1" t="str">
        <f>NUCLEO!A31</f>
        <v>F4</v>
      </c>
      <c r="B30" s="1" t="s">
        <v>714</v>
      </c>
      <c r="C30" t="str">
        <f>NUCLEO!B31</f>
        <v>NUCLEO-F411RE</v>
      </c>
      <c r="D30" s="1">
        <f>NUCLEO!D31-Roaming!E30</f>
        <v>9</v>
      </c>
      <c r="E30" s="1">
        <f t="shared" si="5"/>
        <v>1</v>
      </c>
      <c r="H30" s="1">
        <v>1</v>
      </c>
    </row>
    <row r="31" spans="1:33" ht="14.5" x14ac:dyDescent="0.35">
      <c r="A31" s="1" t="str">
        <f>NUCLEO!A32</f>
        <v>F4</v>
      </c>
      <c r="B31" s="1" t="s">
        <v>714</v>
      </c>
      <c r="C31" t="str">
        <f>NUCLEO!B32</f>
        <v>NUCLEO-F446RE</v>
      </c>
      <c r="D31" s="1">
        <f>NUCLEO!D32-Roaming!E31</f>
        <v>4</v>
      </c>
      <c r="E31" s="1">
        <f t="shared" si="5"/>
        <v>2</v>
      </c>
      <c r="H31" s="1">
        <v>1</v>
      </c>
      <c r="X31" s="1">
        <v>1</v>
      </c>
    </row>
    <row r="32" spans="1:33" ht="14.5" x14ac:dyDescent="0.35">
      <c r="A32" s="1" t="str">
        <f>NUCLEO!A33</f>
        <v>G0</v>
      </c>
      <c r="B32" s="1" t="s">
        <v>714</v>
      </c>
      <c r="C32" t="str">
        <f>NUCLEO!B33</f>
        <v>NUCLEO-G070RB</v>
      </c>
      <c r="D32" s="1">
        <f>NUCLEO!D33-Roaming!E32</f>
        <v>6</v>
      </c>
      <c r="E32" s="1">
        <f t="shared" si="5"/>
        <v>1</v>
      </c>
      <c r="H32" s="1">
        <v>1</v>
      </c>
    </row>
    <row r="33" spans="1:25" ht="14.5" x14ac:dyDescent="0.35">
      <c r="A33" s="1" t="str">
        <f>NUCLEO!A34</f>
        <v>G0</v>
      </c>
      <c r="B33" s="1" t="s">
        <v>714</v>
      </c>
      <c r="C33" t="str">
        <f>NUCLEO!B34</f>
        <v>NUCLEO-G071RB</v>
      </c>
      <c r="D33" s="1">
        <f>NUCLEO!D34-Roaming!E33</f>
        <v>13</v>
      </c>
      <c r="E33" s="1">
        <f t="shared" si="5"/>
        <v>2</v>
      </c>
      <c r="H33" s="1">
        <v>1</v>
      </c>
      <c r="K33" s="1">
        <v>1</v>
      </c>
    </row>
    <row r="34" spans="1:25" ht="14.5" x14ac:dyDescent="0.35">
      <c r="A34" s="1" t="str">
        <f>NUCLEO!A35</f>
        <v>G0</v>
      </c>
      <c r="B34" s="1" t="s">
        <v>714</v>
      </c>
      <c r="C34" t="str">
        <f>NUCLEO!B35</f>
        <v>NUCLEO-G0B1RE</v>
      </c>
      <c r="D34" s="1">
        <f>NUCLEO!D35-Roaming!E34</f>
        <v>10</v>
      </c>
      <c r="E34" s="1">
        <f t="shared" si="5"/>
        <v>3</v>
      </c>
      <c r="H34" s="1">
        <v>1</v>
      </c>
      <c r="O34" s="1">
        <v>2</v>
      </c>
    </row>
    <row r="35" spans="1:25" ht="14.5" x14ac:dyDescent="0.35">
      <c r="A35" s="1" t="str">
        <f>NUCLEO!A36</f>
        <v>G4</v>
      </c>
      <c r="B35" s="1" t="s">
        <v>714</v>
      </c>
      <c r="C35" t="str">
        <f>NUCLEO!B36</f>
        <v>NUCLEO-G431RB</v>
      </c>
      <c r="D35" s="1">
        <f>NUCLEO!D36-Roaming!E35</f>
        <v>7</v>
      </c>
      <c r="E35" s="1">
        <f t="shared" si="5"/>
        <v>2</v>
      </c>
      <c r="H35" s="1">
        <v>1</v>
      </c>
      <c r="W35" s="1">
        <v>1</v>
      </c>
    </row>
    <row r="36" spans="1:25" ht="14.5" x14ac:dyDescent="0.35">
      <c r="A36" s="1" t="str">
        <f>NUCLEO!A37</f>
        <v>G4</v>
      </c>
      <c r="B36" s="1" t="s">
        <v>714</v>
      </c>
      <c r="C36" t="str">
        <f>NUCLEO!B37</f>
        <v>NUCLEO-G474RE</v>
      </c>
      <c r="D36" s="1">
        <f>NUCLEO!D37-Roaming!E36</f>
        <v>9</v>
      </c>
      <c r="E36" s="1">
        <f t="shared" si="5"/>
        <v>2</v>
      </c>
      <c r="K36" s="1">
        <v>1</v>
      </c>
      <c r="Y36" s="1">
        <v>1</v>
      </c>
    </row>
    <row r="37" spans="1:25" ht="14.5" x14ac:dyDescent="0.35">
      <c r="A37" s="1" t="str">
        <f>NUCLEO!A38</f>
        <v>G4</v>
      </c>
      <c r="B37" s="1" t="s">
        <v>714</v>
      </c>
      <c r="C37" t="str">
        <f>NUCLEO!B38</f>
        <v>NUCLEO-G491RE</v>
      </c>
      <c r="D37" s="1">
        <f>NUCLEO!D38-Roaming!E37</f>
        <v>5</v>
      </c>
      <c r="E37" s="1">
        <f t="shared" si="5"/>
        <v>0</v>
      </c>
    </row>
    <row r="38" spans="1:25" ht="14.5" x14ac:dyDescent="0.35">
      <c r="A38" s="1" t="str">
        <f>NUCLEO!A39</f>
        <v>H5</v>
      </c>
      <c r="B38" s="1" t="s">
        <v>714</v>
      </c>
      <c r="C38" t="str">
        <f>NUCLEO!B39</f>
        <v>NUCLEO-H503RB</v>
      </c>
      <c r="D38" s="1">
        <f>NUCLEO!D39-Roaming!E38</f>
        <v>9</v>
      </c>
      <c r="E38" s="1">
        <f t="shared" si="5"/>
        <v>0</v>
      </c>
    </row>
    <row r="39" spans="1:25" ht="14.5" x14ac:dyDescent="0.35">
      <c r="A39" s="1" t="str">
        <f>NUCLEO!A40</f>
        <v>H5</v>
      </c>
      <c r="B39" s="1" t="s">
        <v>714</v>
      </c>
      <c r="C39" t="str">
        <f>NUCLEO!B40</f>
        <v>NUCLEO-H503RB (MR2)</v>
      </c>
      <c r="D39" s="1">
        <f>NUCLEO!D40-Roaming!E39</f>
        <v>12</v>
      </c>
      <c r="E39" s="1">
        <f t="shared" si="5"/>
        <v>0</v>
      </c>
    </row>
    <row r="40" spans="1:25" ht="14.5" x14ac:dyDescent="0.35">
      <c r="A40" s="1" t="str">
        <f>NUCLEO!A41</f>
        <v>H5</v>
      </c>
      <c r="B40" s="1" t="s">
        <v>714</v>
      </c>
      <c r="C40" t="str">
        <f>NUCLEO!B41</f>
        <v>NUCLEO-H533RE (MR1)</v>
      </c>
      <c r="D40" s="1">
        <f>NUCLEO!D41-Roaming!E40</f>
        <v>3</v>
      </c>
      <c r="E40" s="1">
        <f t="shared" si="5"/>
        <v>1</v>
      </c>
      <c r="U40" s="1">
        <v>1</v>
      </c>
    </row>
    <row r="41" spans="1:25" ht="14.5" x14ac:dyDescent="0.35">
      <c r="A41" s="1" t="str">
        <f>NUCLEO!A42</f>
        <v>H5</v>
      </c>
      <c r="B41" s="1" t="s">
        <v>714</v>
      </c>
      <c r="C41" t="str">
        <f>NUCLEO!B42</f>
        <v>NUCLEO-H533RE (KR2)</v>
      </c>
      <c r="D41" s="1">
        <f>NUCLEO!D42-Roaming!E41</f>
        <v>2</v>
      </c>
      <c r="E41" s="1">
        <f t="shared" si="5"/>
        <v>0</v>
      </c>
    </row>
    <row r="42" spans="1:25" ht="14.5" x14ac:dyDescent="0.35">
      <c r="A42" s="1" t="str">
        <f>NUCLEO!A43</f>
        <v>L0</v>
      </c>
      <c r="B42" s="1" t="s">
        <v>714</v>
      </c>
      <c r="C42" t="str">
        <f>NUCLEO!B43</f>
        <v>NUCLEO-L010RB</v>
      </c>
      <c r="D42" s="1">
        <f>NUCLEO!D43-Roaming!E42</f>
        <v>4</v>
      </c>
      <c r="E42" s="1">
        <f t="shared" si="5"/>
        <v>0</v>
      </c>
    </row>
    <row r="43" spans="1:25" ht="14.5" x14ac:dyDescent="0.35">
      <c r="A43" s="1" t="str">
        <f>NUCLEO!A44</f>
        <v>L0</v>
      </c>
      <c r="B43" s="1" t="s">
        <v>714</v>
      </c>
      <c r="C43" t="str">
        <f>NUCLEO!B44</f>
        <v>NUCLEO-L053R8</v>
      </c>
      <c r="D43" s="1">
        <f>NUCLEO!D44-Roaming!E43</f>
        <v>8</v>
      </c>
      <c r="E43" s="1">
        <f t="shared" si="5"/>
        <v>1</v>
      </c>
      <c r="H43" s="1">
        <v>1</v>
      </c>
    </row>
    <row r="44" spans="1:25" ht="14.5" x14ac:dyDescent="0.35">
      <c r="A44" s="1" t="str">
        <f>NUCLEO!A45</f>
        <v>L0</v>
      </c>
      <c r="B44" s="1" t="s">
        <v>714</v>
      </c>
      <c r="C44" t="str">
        <f>NUCLEO!B45</f>
        <v>NUCLEO-L073RZ</v>
      </c>
      <c r="D44" s="1">
        <f>NUCLEO!D45-Roaming!E44</f>
        <v>9</v>
      </c>
      <c r="E44" s="1">
        <f t="shared" si="5"/>
        <v>0</v>
      </c>
    </row>
    <row r="45" spans="1:25" ht="14.5" x14ac:dyDescent="0.35">
      <c r="A45" s="1" t="str">
        <f>NUCLEO!A46</f>
        <v>L1</v>
      </c>
      <c r="B45" s="1" t="s">
        <v>714</v>
      </c>
      <c r="C45" t="str">
        <f>NUCLEO!B46</f>
        <v>NUCLEO-L152RE</v>
      </c>
      <c r="D45" s="1">
        <f>NUCLEO!D46-Roaming!E45</f>
        <v>4</v>
      </c>
      <c r="E45" s="1">
        <f t="shared" si="5"/>
        <v>1</v>
      </c>
      <c r="Y45" s="1">
        <v>1</v>
      </c>
    </row>
    <row r="46" spans="1:25" ht="14.5" x14ac:dyDescent="0.35">
      <c r="A46" s="1" t="str">
        <f>NUCLEO!A47</f>
        <v>L4</v>
      </c>
      <c r="B46" s="1" t="s">
        <v>714</v>
      </c>
      <c r="C46" t="str">
        <f>NUCLEO!B47</f>
        <v>NUCLEO-L412RB-P</v>
      </c>
      <c r="D46" s="1">
        <f>NUCLEO!D47-Roaming!E46</f>
        <v>9</v>
      </c>
      <c r="E46" s="1">
        <f t="shared" si="5"/>
        <v>0</v>
      </c>
    </row>
    <row r="47" spans="1:25" ht="14.5" x14ac:dyDescent="0.35">
      <c r="A47" s="1" t="str">
        <f>NUCLEO!A48</f>
        <v>L4</v>
      </c>
      <c r="B47" s="1" t="s">
        <v>714</v>
      </c>
      <c r="C47" t="str">
        <f>NUCLEO!B48</f>
        <v>NUCLEO-L433RC-P</v>
      </c>
      <c r="D47" s="1">
        <f>NUCLEO!D48-Roaming!E47</f>
        <v>6</v>
      </c>
      <c r="E47" s="1">
        <f t="shared" si="5"/>
        <v>1</v>
      </c>
      <c r="H47" s="1">
        <v>1</v>
      </c>
    </row>
    <row r="48" spans="1:25" ht="14.5" x14ac:dyDescent="0.35">
      <c r="A48" s="1" t="str">
        <f>NUCLEO!A49</f>
        <v>L4</v>
      </c>
      <c r="B48" s="1" t="s">
        <v>714</v>
      </c>
      <c r="C48" t="str">
        <f>NUCLEO!B49</f>
        <v>NUCLEO-L452RE</v>
      </c>
      <c r="D48" s="1">
        <f>NUCLEO!D49-Roaming!E48</f>
        <v>7</v>
      </c>
      <c r="E48" s="1">
        <f t="shared" si="5"/>
        <v>0</v>
      </c>
    </row>
    <row r="49" spans="1:25" ht="14.5" x14ac:dyDescent="0.35">
      <c r="A49" s="1" t="str">
        <f>NUCLEO!A50</f>
        <v>L4</v>
      </c>
      <c r="B49" s="1" t="s">
        <v>714</v>
      </c>
      <c r="C49" t="str">
        <f>NUCLEO!B50</f>
        <v>NUCLEO-L452RE-P</v>
      </c>
      <c r="D49" s="1">
        <f>NUCLEO!D50-Roaming!E49</f>
        <v>6</v>
      </c>
      <c r="E49" s="1">
        <f t="shared" si="5"/>
        <v>0</v>
      </c>
    </row>
    <row r="50" spans="1:25" ht="14.5" x14ac:dyDescent="0.35">
      <c r="A50" s="1" t="str">
        <f>NUCLEO!A51</f>
        <v>L4</v>
      </c>
      <c r="B50" s="1" t="s">
        <v>714</v>
      </c>
      <c r="C50" t="str">
        <f>NUCLEO!B51</f>
        <v>NUCLEO-L476RG</v>
      </c>
      <c r="D50" s="1">
        <f>NUCLEO!D51-Roaming!E50</f>
        <v>12</v>
      </c>
      <c r="E50" s="1">
        <f t="shared" si="5"/>
        <v>0</v>
      </c>
    </row>
    <row r="51" spans="1:25" ht="14.5" x14ac:dyDescent="0.35">
      <c r="A51" s="1" t="str">
        <f>NUCLEO!A52</f>
        <v>L5</v>
      </c>
      <c r="B51" s="1" t="s">
        <v>714</v>
      </c>
      <c r="C51" t="str">
        <f>NUCLEO!B52</f>
        <v>NUCLEO-L552ZE-Q</v>
      </c>
      <c r="D51" s="1">
        <f>NUCLEO!D52-Roaming!E51</f>
        <v>5</v>
      </c>
      <c r="E51" s="1">
        <f t="shared" si="5"/>
        <v>1</v>
      </c>
      <c r="L51" s="1">
        <v>1</v>
      </c>
    </row>
    <row r="52" spans="1:25" ht="14.5" x14ac:dyDescent="0.35">
      <c r="A52" s="1" t="str">
        <f>NUCLEO!A53</f>
        <v>U0</v>
      </c>
      <c r="B52" s="1" t="s">
        <v>714</v>
      </c>
      <c r="C52" t="str">
        <f>NUCLEO!B53</f>
        <v>NUCLEO-U031R8 (KS1)</v>
      </c>
      <c r="D52" s="1">
        <f>NUCLEO!D53-Roaming!E52</f>
        <v>4</v>
      </c>
      <c r="E52" s="1">
        <f t="shared" si="5"/>
        <v>0</v>
      </c>
    </row>
    <row r="53" spans="1:25" ht="14.5" x14ac:dyDescent="0.35">
      <c r="A53" s="1" t="str">
        <f>NUCLEO!A54</f>
        <v>U0</v>
      </c>
      <c r="B53" s="1" t="s">
        <v>714</v>
      </c>
      <c r="C53" t="str">
        <f>NUCLEO!B54</f>
        <v>NUCLEO-U083RC (KS1)</v>
      </c>
      <c r="D53" s="1">
        <f>NUCLEO!D54-Roaming!E53</f>
        <v>2</v>
      </c>
      <c r="E53" s="1">
        <f t="shared" si="5"/>
        <v>2</v>
      </c>
      <c r="U53" s="1">
        <v>2</v>
      </c>
    </row>
    <row r="54" spans="1:25" ht="14.5" x14ac:dyDescent="0.35">
      <c r="A54" s="1" t="str">
        <f>NUCLEO!A55</f>
        <v>U3</v>
      </c>
      <c r="B54" s="1" t="s">
        <v>714</v>
      </c>
      <c r="C54" t="str">
        <f>NUCLEO!B55</f>
        <v>NUCLEO-U385RB (CR1) ES</v>
      </c>
      <c r="D54" s="1">
        <f>NUCLEO!D55-Roaming!E54</f>
        <v>4</v>
      </c>
      <c r="E54" s="1">
        <f t="shared" si="5"/>
        <v>0</v>
      </c>
    </row>
    <row r="55" spans="1:25" ht="14.5" x14ac:dyDescent="0.35">
      <c r="A55" s="1" t="str">
        <f>NUCLEO!A56</f>
        <v>U3</v>
      </c>
      <c r="B55" s="1" t="s">
        <v>714</v>
      </c>
      <c r="C55" t="str">
        <f>NUCLEO!B56</f>
        <v>NUCLEO-U385RG-Q (CR1) ES</v>
      </c>
      <c r="D55" s="1">
        <f>NUCLEO!D56-Roaming!E55</f>
        <v>2</v>
      </c>
      <c r="E55" s="1">
        <f t="shared" si="5"/>
        <v>0</v>
      </c>
    </row>
    <row r="56" spans="1:25" ht="14.5" x14ac:dyDescent="0.35">
      <c r="A56" s="1" t="str">
        <f>NUCLEO!A57</f>
        <v>U3</v>
      </c>
      <c r="B56" s="1" t="s">
        <v>714</v>
      </c>
      <c r="C56" t="str">
        <f>NUCLEO!B57</f>
        <v>NUCLEO-U385RG-Q (CR1)</v>
      </c>
      <c r="D56" s="1">
        <f>NUCLEO!D57-Roaming!E56</f>
        <v>4</v>
      </c>
      <c r="E56" s="1">
        <f t="shared" si="5"/>
        <v>0</v>
      </c>
    </row>
    <row r="57" spans="1:25" ht="14.5" x14ac:dyDescent="0.35">
      <c r="A57" s="1" t="str">
        <f>NUCLEO!A58</f>
        <v>U5</v>
      </c>
      <c r="B57" s="1" t="s">
        <v>714</v>
      </c>
      <c r="C57" t="str">
        <f>NUCLEO!B58</f>
        <v>NUCLEO-U545RE-Q (MR1)</v>
      </c>
      <c r="D57" s="1">
        <f>NUCLEO!D58-Roaming!E57</f>
        <v>9</v>
      </c>
      <c r="E57" s="1">
        <f t="shared" si="5"/>
        <v>1</v>
      </c>
      <c r="U57" s="1">
        <v>1</v>
      </c>
    </row>
    <row r="58" spans="1:25" ht="14.5" x14ac:dyDescent="0.35">
      <c r="A58" s="1" t="str">
        <f>NUCLEO!A59</f>
        <v>WB05</v>
      </c>
      <c r="B58" s="1" t="s">
        <v>714</v>
      </c>
      <c r="C58" t="str">
        <f>NUCLEO!B59</f>
        <v>NUCLEO-WB05KZ(CR1)</v>
      </c>
      <c r="D58" s="1">
        <f>NUCLEO!D59-Roaming!E58</f>
        <v>2</v>
      </c>
      <c r="E58" s="1">
        <f t="shared" si="5"/>
        <v>0</v>
      </c>
    </row>
    <row r="59" spans="1:25" ht="14.5" x14ac:dyDescent="0.35">
      <c r="A59" s="1" t="str">
        <f>NUCLEO!A60</f>
        <v>WB07</v>
      </c>
      <c r="B59" s="1" t="s">
        <v>714</v>
      </c>
      <c r="C59" t="str">
        <f>NUCLEO!B60</f>
        <v>NUCLEO-WB07CC(CR1)</v>
      </c>
      <c r="D59" s="1">
        <f>NUCLEO!D60-Roaming!E59</f>
        <v>6</v>
      </c>
      <c r="E59" s="1">
        <f t="shared" si="5"/>
        <v>0</v>
      </c>
    </row>
    <row r="60" spans="1:25" ht="14.5" x14ac:dyDescent="0.35">
      <c r="A60" s="1" t="str">
        <f>NUCLEO!A61</f>
        <v>WB09</v>
      </c>
      <c r="B60" s="1" t="s">
        <v>714</v>
      </c>
      <c r="C60" t="str">
        <f>NUCLEO!B61</f>
        <v>NUCLEO-WB09KE (CR1)</v>
      </c>
      <c r="D60" s="1">
        <f>NUCLEO!D61-Roaming!E60</f>
        <v>2</v>
      </c>
      <c r="E60" s="1">
        <f t="shared" si="5"/>
        <v>0</v>
      </c>
    </row>
    <row r="61" spans="1:25" ht="14.5" x14ac:dyDescent="0.35">
      <c r="A61" s="1" t="str">
        <f>NUCLEO!A62</f>
        <v>WB</v>
      </c>
      <c r="B61" s="1" t="s">
        <v>714</v>
      </c>
      <c r="C61" t="str">
        <f>NUCLEO!B62</f>
        <v>NUCLEO-WB15CC</v>
      </c>
      <c r="D61" s="1">
        <f>NUCLEO!D62-Roaming!E61</f>
        <v>3</v>
      </c>
      <c r="E61" s="1">
        <f t="shared" si="5"/>
        <v>5</v>
      </c>
      <c r="P61" s="1">
        <v>1</v>
      </c>
      <c r="U61" s="1">
        <v>3</v>
      </c>
      <c r="Y61" s="1">
        <v>1</v>
      </c>
    </row>
    <row r="62" spans="1:25" ht="14.5" x14ac:dyDescent="0.35">
      <c r="A62" s="1" t="str">
        <f>NUCLEO!A63</f>
        <v>WB</v>
      </c>
      <c r="B62" s="1" t="s">
        <v>714</v>
      </c>
      <c r="C62" t="str">
        <f>NUCLEO!B63</f>
        <v>NUCLEO-WB55RG</v>
      </c>
      <c r="D62" s="1">
        <f>NUCLEO!D63-Roaming!E62</f>
        <v>8</v>
      </c>
      <c r="E62" s="1">
        <f t="shared" si="5"/>
        <v>0</v>
      </c>
    </row>
    <row r="63" spans="1:25" ht="14.5" x14ac:dyDescent="0.35">
      <c r="A63" s="1" t="str">
        <f>NUCLEO!A64</f>
        <v>WB</v>
      </c>
      <c r="B63" s="1" t="s">
        <v>714</v>
      </c>
      <c r="C63" t="str">
        <f>NUCLEO!B64</f>
        <v>NUCLEO-WB55RG (CU4)</v>
      </c>
      <c r="D63" s="1">
        <f>NUCLEO!D64-Roaming!E63</f>
        <v>4</v>
      </c>
      <c r="E63" s="1">
        <f t="shared" si="5"/>
        <v>2</v>
      </c>
      <c r="U63" s="1">
        <v>2</v>
      </c>
    </row>
    <row r="64" spans="1:25" ht="14.5" x14ac:dyDescent="0.35">
      <c r="A64" s="1" t="str">
        <f>NUCLEO!A65</f>
        <v>WBA</v>
      </c>
      <c r="B64" s="1" t="s">
        <v>714</v>
      </c>
      <c r="C64" t="str">
        <f>NUCLEO!B65</f>
        <v>NUCLEO-WBA52CG</v>
      </c>
      <c r="D64" s="1">
        <f>NUCLEO!D65-Roaming!E64</f>
        <v>7</v>
      </c>
      <c r="E64" s="1">
        <f t="shared" si="5"/>
        <v>1</v>
      </c>
      <c r="K64" s="1">
        <v>1</v>
      </c>
    </row>
    <row r="65" spans="1:36" ht="14.5" x14ac:dyDescent="0.35">
      <c r="A65" s="1" t="str">
        <f>NUCLEO!A66</f>
        <v>WBA</v>
      </c>
      <c r="B65" s="1" t="s">
        <v>714</v>
      </c>
      <c r="C65" t="str">
        <f>NUCLEO!B66</f>
        <v>NUCLEO-WBA55CG (DT1)</v>
      </c>
      <c r="D65" s="1">
        <f>NUCLEO!D66-Roaming!E65</f>
        <v>4</v>
      </c>
      <c r="E65" s="1">
        <f t="shared" si="5"/>
        <v>4</v>
      </c>
      <c r="K65" s="1">
        <v>2</v>
      </c>
      <c r="AB65" s="1">
        <v>2</v>
      </c>
    </row>
    <row r="66" spans="1:36" ht="14.5" x14ac:dyDescent="0.35">
      <c r="A66" s="1" t="str">
        <f>NUCLEO!A67</f>
        <v>WBA</v>
      </c>
      <c r="B66" s="1" t="s">
        <v>714</v>
      </c>
      <c r="C66" t="str">
        <f>NUCLEO!B67</f>
        <v>NUCLEO-WBA65RI (DR1)</v>
      </c>
      <c r="D66" s="1">
        <f>NUCLEO!D67-Roaming!E66</f>
        <v>4</v>
      </c>
      <c r="E66" s="1">
        <f t="shared" si="5"/>
        <v>0</v>
      </c>
    </row>
    <row r="67" spans="1:36" ht="14.5" x14ac:dyDescent="0.35">
      <c r="A67" s="1" t="str">
        <f>NUCLEO!A68</f>
        <v>WL</v>
      </c>
      <c r="B67" s="1" t="s">
        <v>714</v>
      </c>
      <c r="C67" t="str">
        <f>NUCLEO!B68</f>
        <v>NUCLEO-WL33CC1 (CR1)</v>
      </c>
      <c r="D67" s="1">
        <f>NUCLEO!D68-Roaming!E67</f>
        <v>6</v>
      </c>
      <c r="E67" s="1">
        <f t="shared" si="5"/>
        <v>0</v>
      </c>
    </row>
    <row r="68" spans="1:36" ht="14.5" x14ac:dyDescent="0.35">
      <c r="A68" s="1" t="str">
        <f>NUCLEO!A69</f>
        <v>WL</v>
      </c>
      <c r="B68" s="1" t="s">
        <v>714</v>
      </c>
      <c r="C68" t="str">
        <f>NUCLEO!B69</f>
        <v>NUCLEO-WL33CC2 (CR1)</v>
      </c>
      <c r="D68" s="1">
        <f>NUCLEO!D69-Roaming!E68</f>
        <v>11</v>
      </c>
      <c r="E68" s="1">
        <f t="shared" si="5"/>
        <v>1</v>
      </c>
      <c r="U68" s="1">
        <v>1</v>
      </c>
    </row>
    <row r="69" spans="1:36" ht="14.5" x14ac:dyDescent="0.35">
      <c r="A69" s="1" t="str">
        <f>NUCLEO!A70</f>
        <v>WL</v>
      </c>
      <c r="B69" s="1" t="s">
        <v>714</v>
      </c>
      <c r="C69" t="str">
        <f>NUCLEO!B70</f>
        <v>NUCLEO-WL55JC1</v>
      </c>
      <c r="D69" s="1">
        <f>NUCLEO!D70-Roaming!E69</f>
        <v>3</v>
      </c>
      <c r="E69" s="1">
        <f t="shared" si="5"/>
        <v>2</v>
      </c>
      <c r="X69" s="1">
        <v>2</v>
      </c>
    </row>
    <row r="70" spans="1:36" ht="14.5" x14ac:dyDescent="0.35">
      <c r="A70" s="1" t="str">
        <f>NUCLEO!A71</f>
        <v>WL</v>
      </c>
      <c r="B70" s="1" t="s">
        <v>714</v>
      </c>
      <c r="C70" t="str">
        <f>NUCLEO!B71</f>
        <v>NUCLEO-WL55JC2</v>
      </c>
      <c r="D70" s="1">
        <f>NUCLEO!D71-Roaming!E70</f>
        <v>7</v>
      </c>
      <c r="E70" s="1">
        <f t="shared" si="5"/>
        <v>0</v>
      </c>
    </row>
    <row r="71" spans="1:36" s="24" customFormat="1" ht="14.5" x14ac:dyDescent="0.35">
      <c r="A71" s="26"/>
      <c r="B71" s="26"/>
      <c r="C71" s="25"/>
      <c r="D71" s="31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</row>
    <row r="72" spans="1:36" ht="14.5" x14ac:dyDescent="0.35">
      <c r="A72" s="1" t="str">
        <f>NUCLEO!H3</f>
        <v>F2</v>
      </c>
      <c r="B72" s="1" t="s">
        <v>715</v>
      </c>
      <c r="C72" t="str">
        <f>NUCLEO!I3</f>
        <v>NUCLEO-F207ZG</v>
      </c>
      <c r="D72" s="1">
        <f>NUCLEO!K3-Roaming!E72</f>
        <v>3</v>
      </c>
      <c r="E72" s="1">
        <f t="shared" ref="E72:E110" si="6">SUM(F72:AJ72)</f>
        <v>1</v>
      </c>
      <c r="AA72" s="1">
        <v>1</v>
      </c>
    </row>
    <row r="73" spans="1:36" ht="14.5" x14ac:dyDescent="0.35">
      <c r="A73" s="1" t="str">
        <f>NUCLEO!H4</f>
        <v>F3</v>
      </c>
      <c r="B73" s="1" t="s">
        <v>715</v>
      </c>
      <c r="C73" t="str">
        <f>NUCLEO!I4</f>
        <v>NUCLEO-F303ZE</v>
      </c>
      <c r="D73" s="1">
        <f>NUCLEO!K4-Roaming!E73</f>
        <v>2</v>
      </c>
      <c r="E73" s="1">
        <f t="shared" si="6"/>
        <v>0</v>
      </c>
    </row>
    <row r="74" spans="1:36" ht="14.5" x14ac:dyDescent="0.35">
      <c r="A74" s="1" t="str">
        <f>NUCLEO!H5</f>
        <v>F4</v>
      </c>
      <c r="B74" s="1" t="s">
        <v>715</v>
      </c>
      <c r="C74" t="str">
        <f>NUCLEO!I5</f>
        <v>NUCLEO-F412ZG</v>
      </c>
      <c r="D74" s="1">
        <f>NUCLEO!K5-Roaming!E74</f>
        <v>3</v>
      </c>
      <c r="E74" s="1">
        <f t="shared" si="6"/>
        <v>0</v>
      </c>
    </row>
    <row r="75" spans="1:36" ht="14.5" x14ac:dyDescent="0.35">
      <c r="A75" s="1" t="str">
        <f>NUCLEO!H6</f>
        <v>F4</v>
      </c>
      <c r="B75" s="1" t="s">
        <v>715</v>
      </c>
      <c r="C75" t="str">
        <f>NUCLEO!I6</f>
        <v>NUCLEO-F413ZH</v>
      </c>
      <c r="D75" s="1">
        <f>NUCLEO!K6-Roaming!E75</f>
        <v>4</v>
      </c>
      <c r="E75" s="1">
        <f t="shared" si="6"/>
        <v>0</v>
      </c>
    </row>
    <row r="76" spans="1:36" ht="14.5" x14ac:dyDescent="0.35">
      <c r="A76" s="1" t="str">
        <f>NUCLEO!H7</f>
        <v>F4</v>
      </c>
      <c r="B76" s="1" t="s">
        <v>715</v>
      </c>
      <c r="C76" t="str">
        <f>NUCLEO!I7</f>
        <v>NUCLEO-F429ZI</v>
      </c>
      <c r="D76" s="1">
        <f>NUCLEO!K7-Roaming!E76</f>
        <v>6</v>
      </c>
      <c r="E76" s="1">
        <f t="shared" si="6"/>
        <v>0</v>
      </c>
    </row>
    <row r="77" spans="1:36" ht="14.5" x14ac:dyDescent="0.35">
      <c r="A77" s="1" t="str">
        <f>NUCLEO!H8</f>
        <v>F4</v>
      </c>
      <c r="B77" s="1" t="s">
        <v>715</v>
      </c>
      <c r="C77" t="str">
        <f>NUCLEO!I8</f>
        <v>NUCLEO-F439ZI</v>
      </c>
      <c r="D77" s="1">
        <f>NUCLEO!K8-Roaming!E77</f>
        <v>4</v>
      </c>
      <c r="E77" s="1">
        <f t="shared" si="6"/>
        <v>0</v>
      </c>
    </row>
    <row r="78" spans="1:36" ht="14.5" x14ac:dyDescent="0.35">
      <c r="A78" s="1" t="str">
        <f>NUCLEO!H9</f>
        <v>F4</v>
      </c>
      <c r="B78" s="1" t="s">
        <v>715</v>
      </c>
      <c r="C78" t="str">
        <f>NUCLEO!I9</f>
        <v>NUCLEO-F446ZG</v>
      </c>
      <c r="D78" s="1">
        <f>NUCLEO!K9-Roaming!E78</f>
        <v>3</v>
      </c>
      <c r="E78" s="1">
        <f t="shared" si="6"/>
        <v>0</v>
      </c>
    </row>
    <row r="79" spans="1:36" ht="14.5" x14ac:dyDescent="0.35">
      <c r="A79" s="1" t="str">
        <f>NUCLEO!H10</f>
        <v>F7</v>
      </c>
      <c r="B79" s="1" t="s">
        <v>715</v>
      </c>
      <c r="C79" t="str">
        <f>NUCLEO!I10</f>
        <v>NUCLEO-F722ZE</v>
      </c>
      <c r="D79" s="1">
        <f>NUCLEO!K10-Roaming!E79</f>
        <v>2</v>
      </c>
      <c r="E79" s="1">
        <f t="shared" si="6"/>
        <v>0</v>
      </c>
    </row>
    <row r="80" spans="1:36" ht="14.5" x14ac:dyDescent="0.35">
      <c r="A80" s="1" t="str">
        <f>NUCLEO!H11</f>
        <v>F7</v>
      </c>
      <c r="B80" s="1" t="s">
        <v>715</v>
      </c>
      <c r="C80" t="str">
        <f>NUCLEO!I11</f>
        <v>NUCLEO-F746ZG</v>
      </c>
      <c r="D80" s="1">
        <f>NUCLEO!K11-Roaming!E80</f>
        <v>3</v>
      </c>
      <c r="E80" s="1">
        <f t="shared" si="6"/>
        <v>0</v>
      </c>
    </row>
    <row r="81" spans="1:36" ht="14.5" x14ac:dyDescent="0.35">
      <c r="A81" s="1" t="str">
        <f>NUCLEO!H12</f>
        <v>F7</v>
      </c>
      <c r="B81" s="1" t="s">
        <v>715</v>
      </c>
      <c r="C81" t="str">
        <f>NUCLEO!I12</f>
        <v>NUCLEO-F756ZG</v>
      </c>
      <c r="D81" s="1">
        <f>NUCLEO!K12-Roaming!E81</f>
        <v>6</v>
      </c>
      <c r="E81" s="1">
        <f t="shared" si="6"/>
        <v>0</v>
      </c>
    </row>
    <row r="82" spans="1:36" ht="14.5" x14ac:dyDescent="0.35">
      <c r="A82" s="1" t="str">
        <f>NUCLEO!H13</f>
        <v>F7</v>
      </c>
      <c r="B82" s="1" t="s">
        <v>715</v>
      </c>
      <c r="C82" t="str">
        <f>NUCLEO!I13</f>
        <v>NUCLEO-F767ZI</v>
      </c>
      <c r="D82" s="1">
        <f>NUCLEO!K13-Roaming!E82</f>
        <v>10</v>
      </c>
      <c r="E82" s="1">
        <f t="shared" si="6"/>
        <v>0</v>
      </c>
    </row>
    <row r="83" spans="1:36" ht="14.5" x14ac:dyDescent="0.35">
      <c r="A83" s="1" t="str">
        <f>NUCLEO!H14</f>
        <v>H5</v>
      </c>
      <c r="B83" s="1" t="s">
        <v>715</v>
      </c>
      <c r="C83" t="str">
        <f>NUCLEO!I14</f>
        <v>NUCLEO-H563ZI ($MT2)</v>
      </c>
      <c r="D83" s="1">
        <f>NUCLEO!K14-Roaming!E83</f>
        <v>4</v>
      </c>
      <c r="E83" s="1">
        <f t="shared" si="6"/>
        <v>0</v>
      </c>
    </row>
    <row r="84" spans="1:36" ht="14.5" x14ac:dyDescent="0.35">
      <c r="A84" s="1" t="str">
        <f>NUCLEO!H15</f>
        <v>H5</v>
      </c>
      <c r="B84" s="1" t="s">
        <v>715</v>
      </c>
      <c r="C84" t="str">
        <f>NUCLEO!I15</f>
        <v>NUCLEO-H563ZI ($MR1)</v>
      </c>
      <c r="D84" s="1">
        <f>NUCLEO!K15-Roaming!E84</f>
        <v>4</v>
      </c>
      <c r="E84" s="1">
        <f t="shared" si="6"/>
        <v>2</v>
      </c>
      <c r="AF84" s="1">
        <v>2</v>
      </c>
    </row>
    <row r="85" spans="1:36" ht="14.5" x14ac:dyDescent="0.35">
      <c r="A85" s="1" t="str">
        <f>NUCLEO!H16</f>
        <v>H5</v>
      </c>
      <c r="B85" s="1" t="s">
        <v>715</v>
      </c>
      <c r="C85" t="str">
        <f>NUCLEO!I16</f>
        <v>NUCLEO-H563ZI ($MR2)</v>
      </c>
      <c r="D85" s="1">
        <f>NUCLEO!K16-Roaming!E85</f>
        <v>2</v>
      </c>
      <c r="E85" s="1">
        <f t="shared" si="6"/>
        <v>0</v>
      </c>
    </row>
    <row r="86" spans="1:36" ht="14.5" x14ac:dyDescent="0.35">
      <c r="A86" s="1" t="str">
        <f>NUCLEO!H17</f>
        <v>H5</v>
      </c>
      <c r="B86" s="1" t="s">
        <v>715</v>
      </c>
      <c r="C86" t="str">
        <f>NUCLEO!I17</f>
        <v>NUCLEO-H563ZI ($KR1)</v>
      </c>
      <c r="D86" s="1">
        <f>NUCLEO!K17-Roaming!E86</f>
        <v>14</v>
      </c>
      <c r="E86" s="1">
        <f t="shared" ref="E86" si="7">SUM(F86:AJ86)</f>
        <v>0</v>
      </c>
    </row>
    <row r="87" spans="1:36" ht="14.5" x14ac:dyDescent="0.35">
      <c r="A87" s="1" t="str">
        <f>NUCLEO!H18</f>
        <v>H7</v>
      </c>
      <c r="B87" s="1" t="s">
        <v>715</v>
      </c>
      <c r="C87" t="str">
        <f>NUCLEO!I18</f>
        <v>NUCLEO-H723ZG</v>
      </c>
      <c r="D87" s="1">
        <f>NUCLEO!K18-Roaming!E87</f>
        <v>8</v>
      </c>
      <c r="E87" s="1">
        <f t="shared" si="6"/>
        <v>0</v>
      </c>
    </row>
    <row r="88" spans="1:36" ht="14.5" x14ac:dyDescent="0.35">
      <c r="A88" s="1" t="str">
        <f>NUCLEO!H19</f>
        <v>H7</v>
      </c>
      <c r="B88" s="1" t="s">
        <v>715</v>
      </c>
      <c r="C88" t="str">
        <f>NUCLEO!I19</f>
        <v>NUCLEO-H743ZI</v>
      </c>
      <c r="D88" s="1">
        <f>NUCLEO!K19-Roaming!E88</f>
        <v>0</v>
      </c>
      <c r="E88" s="1">
        <f t="shared" si="6"/>
        <v>2</v>
      </c>
      <c r="H88" s="1">
        <v>1</v>
      </c>
      <c r="K88" s="1">
        <v>1</v>
      </c>
    </row>
    <row r="89" spans="1:36" ht="14.5" x14ac:dyDescent="0.35">
      <c r="A89" s="1" t="str">
        <f>NUCLEO!H20</f>
        <v>H7</v>
      </c>
      <c r="B89" s="1" t="s">
        <v>715</v>
      </c>
      <c r="C89" t="str">
        <f>NUCLEO!I20</f>
        <v>NUCLEO-H743ZI2</v>
      </c>
      <c r="D89" s="1">
        <f>NUCLEO!K20-Roaming!E89</f>
        <v>7</v>
      </c>
      <c r="E89" s="1">
        <f t="shared" si="6"/>
        <v>1</v>
      </c>
      <c r="H89" s="1">
        <v>1</v>
      </c>
    </row>
    <row r="90" spans="1:36" ht="14.5" x14ac:dyDescent="0.35">
      <c r="A90" s="1" t="str">
        <f>NUCLEO!H21</f>
        <v>H7</v>
      </c>
      <c r="B90" s="1" t="s">
        <v>715</v>
      </c>
      <c r="C90" t="str">
        <f>NUCLEO!I21</f>
        <v>NUCLEO-H745ZI-Q</v>
      </c>
      <c r="D90" s="1">
        <f>NUCLEO!K21-Roaming!E90</f>
        <v>8</v>
      </c>
      <c r="E90" s="1">
        <f t="shared" si="6"/>
        <v>0</v>
      </c>
    </row>
    <row r="91" spans="1:36" ht="14.5" x14ac:dyDescent="0.35">
      <c r="A91" s="1" t="str">
        <f>NUCLEO!H22</f>
        <v>H7</v>
      </c>
      <c r="B91" s="1" t="s">
        <v>715</v>
      </c>
      <c r="C91" t="str">
        <f>NUCLEO!I22</f>
        <v>NUCLEO-H753ZI</v>
      </c>
      <c r="D91" s="1">
        <f>NUCLEO!K22-Roaming!E91</f>
        <v>7</v>
      </c>
      <c r="E91" s="1">
        <f t="shared" si="6"/>
        <v>3</v>
      </c>
      <c r="H91" s="1">
        <v>1</v>
      </c>
      <c r="U91" s="1">
        <v>1</v>
      </c>
      <c r="AH91" s="1">
        <v>1</v>
      </c>
    </row>
    <row r="92" spans="1:36" ht="14.5" x14ac:dyDescent="0.35">
      <c r="A92" s="1" t="str">
        <f>NUCLEO!H23</f>
        <v>H7</v>
      </c>
      <c r="B92" s="1" t="s">
        <v>715</v>
      </c>
      <c r="C92" t="str">
        <f>NUCLEO!I23</f>
        <v>NUCLEO-H753ZI (AT3)</v>
      </c>
      <c r="D92" s="1">
        <f>NUCLEO!K23-Roaming!E92</f>
        <v>3</v>
      </c>
      <c r="E92" s="1">
        <f t="shared" ref="E92" si="8">SUM(F92:AJ92)</f>
        <v>1</v>
      </c>
      <c r="AH92" s="1">
        <v>1</v>
      </c>
    </row>
    <row r="93" spans="1:36" ht="14.5" x14ac:dyDescent="0.35">
      <c r="A93" s="1" t="str">
        <f>NUCLEO!H24</f>
        <v>H7</v>
      </c>
      <c r="B93" s="1" t="s">
        <v>715</v>
      </c>
      <c r="C93" t="str">
        <f>NUCLEO!I24</f>
        <v>NUCLEO-H755ZI-Q</v>
      </c>
      <c r="D93" s="1">
        <f>NUCLEO!K24-Roaming!E93</f>
        <v>5</v>
      </c>
      <c r="E93" s="1">
        <f t="shared" si="6"/>
        <v>1</v>
      </c>
      <c r="H93" s="1">
        <v>1</v>
      </c>
    </row>
    <row r="94" spans="1:36" ht="14.5" x14ac:dyDescent="0.35">
      <c r="A94" s="1" t="str">
        <f>NUCLEO!H25</f>
        <v>H7</v>
      </c>
      <c r="B94" s="1" t="s">
        <v>715</v>
      </c>
      <c r="C94" t="str">
        <f>NUCLEO!I25</f>
        <v>NUCLEO-H755ZI-Q (AT3)</v>
      </c>
      <c r="D94" s="1">
        <f>NUCLEO!K25-Roaming!E94</f>
        <v>3</v>
      </c>
      <c r="E94" s="1">
        <f t="shared" si="6"/>
        <v>1</v>
      </c>
      <c r="AJ94" s="1">
        <v>1</v>
      </c>
    </row>
    <row r="95" spans="1:36" ht="14.5" x14ac:dyDescent="0.35">
      <c r="A95" s="1" t="str">
        <f>NUCLEO!H26</f>
        <v>H7</v>
      </c>
      <c r="B95" s="1" t="s">
        <v>715</v>
      </c>
      <c r="C95" t="str">
        <f>NUCLEO!I26</f>
        <v>NUCLEO-H7A3ZI-Q</v>
      </c>
      <c r="D95" s="1">
        <f>NUCLEO!K26-Roaming!E95</f>
        <v>8</v>
      </c>
      <c r="E95" s="1">
        <f t="shared" si="6"/>
        <v>2</v>
      </c>
      <c r="AD95" s="1">
        <v>2</v>
      </c>
    </row>
    <row r="96" spans="1:36" ht="14.5" x14ac:dyDescent="0.35">
      <c r="A96" s="1" t="str">
        <f>NUCLEO!H27</f>
        <v>H7</v>
      </c>
      <c r="B96" s="1" t="s">
        <v>715</v>
      </c>
      <c r="C96" t="str">
        <f>NUCLEO!I27</f>
        <v>NUCLEO-H7S3L8 (KR1)</v>
      </c>
      <c r="D96" s="1">
        <f>NUCLEO!K27-Roaming!E96</f>
        <v>11</v>
      </c>
      <c r="E96" s="1">
        <f t="shared" ref="E96" si="9">SUM(F96:AJ96)</f>
        <v>0</v>
      </c>
    </row>
    <row r="97" spans="1:36" ht="14.5" x14ac:dyDescent="0.35">
      <c r="A97" s="1" t="str">
        <f>NUCLEO!H28</f>
        <v>L4</v>
      </c>
      <c r="B97" s="1" t="s">
        <v>715</v>
      </c>
      <c r="C97" t="str">
        <f>NUCLEO!I28</f>
        <v>NUCLEO-L496ZG</v>
      </c>
      <c r="D97" s="1">
        <f>NUCLEO!K28-Roaming!E97</f>
        <v>4</v>
      </c>
      <c r="E97" s="1">
        <f t="shared" si="6"/>
        <v>0</v>
      </c>
    </row>
    <row r="98" spans="1:36" ht="14.5" x14ac:dyDescent="0.35">
      <c r="A98" s="1" t="str">
        <f>NUCLEO!H29</f>
        <v>L4</v>
      </c>
      <c r="B98" s="1" t="s">
        <v>715</v>
      </c>
      <c r="C98" t="str">
        <f>NUCLEO!I29</f>
        <v>NUCLEO-L496ZG-P</v>
      </c>
      <c r="D98" s="1">
        <f>NUCLEO!K29-Roaming!E98</f>
        <v>5</v>
      </c>
      <c r="E98" s="1">
        <f t="shared" si="6"/>
        <v>1</v>
      </c>
      <c r="H98" s="1">
        <v>1</v>
      </c>
    </row>
    <row r="99" spans="1:36" ht="14.5" x14ac:dyDescent="0.35">
      <c r="A99" s="1" t="str">
        <f>NUCLEO!H30</f>
        <v>L4</v>
      </c>
      <c r="B99" s="1" t="s">
        <v>715</v>
      </c>
      <c r="C99" t="str">
        <f>NUCLEO!I30</f>
        <v>NUCLEO-L4A6ZG</v>
      </c>
      <c r="D99" s="1">
        <f>NUCLEO!K30-Roaming!E99</f>
        <v>8</v>
      </c>
      <c r="E99" s="1">
        <f t="shared" si="6"/>
        <v>0</v>
      </c>
    </row>
    <row r="100" spans="1:36" ht="14.5" x14ac:dyDescent="0.35">
      <c r="A100" s="1" t="str">
        <f>NUCLEO!H31</f>
        <v>L4</v>
      </c>
      <c r="B100" s="1" t="s">
        <v>715</v>
      </c>
      <c r="C100" t="str">
        <f>NUCLEO!I31</f>
        <v>NUCLEO-L4P5ZG</v>
      </c>
      <c r="D100" s="1">
        <f>NUCLEO!K31-Roaming!E100</f>
        <v>4</v>
      </c>
      <c r="E100" s="1">
        <f t="shared" si="6"/>
        <v>0</v>
      </c>
    </row>
    <row r="101" spans="1:36" ht="14.5" x14ac:dyDescent="0.35">
      <c r="A101" s="1" t="str">
        <f>NUCLEO!H32</f>
        <v>L4</v>
      </c>
      <c r="B101" s="1" t="s">
        <v>715</v>
      </c>
      <c r="C101" t="str">
        <f>NUCLEO!I32</f>
        <v>NUCLEO-L4R5ZI</v>
      </c>
      <c r="D101" s="1">
        <f>NUCLEO!K32-Roaming!E101</f>
        <v>5</v>
      </c>
      <c r="E101" s="1">
        <f t="shared" si="6"/>
        <v>0</v>
      </c>
    </row>
    <row r="102" spans="1:36" ht="14.5" x14ac:dyDescent="0.35">
      <c r="A102" s="1" t="str">
        <f>NUCLEO!H33</f>
        <v>L4</v>
      </c>
      <c r="B102" s="1" t="s">
        <v>715</v>
      </c>
      <c r="C102" t="str">
        <f>NUCLEO!I33</f>
        <v>NUCLEO-L4R5ZI-P</v>
      </c>
      <c r="D102" s="1">
        <f>NUCLEO!K33-Roaming!E102</f>
        <v>4</v>
      </c>
      <c r="E102" s="1">
        <f t="shared" si="6"/>
        <v>0</v>
      </c>
    </row>
    <row r="103" spans="1:36" ht="14.5" x14ac:dyDescent="0.35">
      <c r="A103" s="1" t="str">
        <f>NUCLEO!H34</f>
        <v>L5</v>
      </c>
      <c r="B103" s="1" t="s">
        <v>715</v>
      </c>
      <c r="C103" t="str">
        <f>NUCLEO!I34</f>
        <v>NUCLEO-L552ZE-Q</v>
      </c>
      <c r="D103" s="1">
        <f>NUCLEO!K34-Roaming!E103</f>
        <v>11</v>
      </c>
      <c r="E103" s="1">
        <f t="shared" si="6"/>
        <v>0</v>
      </c>
      <c r="AC103" s="1">
        <v>0</v>
      </c>
    </row>
    <row r="104" spans="1:36" ht="14.5" x14ac:dyDescent="0.35">
      <c r="A104" s="1" t="str">
        <f>NUCLEO!H35</f>
        <v>N6</v>
      </c>
      <c r="B104" s="1" t="s">
        <v>715</v>
      </c>
      <c r="C104" t="str">
        <f>NUCLEO!I35</f>
        <v>NUCLEO-N657X0-Q (CR3)</v>
      </c>
      <c r="D104" s="1">
        <f>NUCLEO!K35-Roaming!E104</f>
        <v>1</v>
      </c>
      <c r="E104" s="1">
        <f t="shared" ref="E104" si="10">SUM(F104:AJ104)</f>
        <v>0</v>
      </c>
    </row>
    <row r="105" spans="1:36" ht="14.5" x14ac:dyDescent="0.35">
      <c r="A105" s="1" t="str">
        <f>NUCLEO!H36</f>
        <v>N6</v>
      </c>
      <c r="B105" s="1" t="s">
        <v>715</v>
      </c>
      <c r="C105" t="str">
        <f>NUCLEO!I36</f>
        <v>NUCLEO-N657X0-Q (CR1)</v>
      </c>
      <c r="D105" s="1">
        <f>NUCLEO!K36-Roaming!E105</f>
        <v>4</v>
      </c>
      <c r="E105" s="1">
        <f t="shared" ref="E105" si="11">SUM(F105:AJ105)</f>
        <v>0</v>
      </c>
    </row>
    <row r="106" spans="1:36" ht="14.5" x14ac:dyDescent="0.35">
      <c r="A106" s="1" t="str">
        <f>NUCLEO!H37</f>
        <v>U5</v>
      </c>
      <c r="B106" s="1" t="s">
        <v>715</v>
      </c>
      <c r="C106" t="str">
        <f>NUCLEO!I37</f>
        <v>NUCLEO-U575ZI-Q (AT1)</v>
      </c>
      <c r="D106" s="1">
        <f>NUCLEO!K37-Roaming!E106</f>
        <v>10</v>
      </c>
      <c r="E106" s="1">
        <f t="shared" si="6"/>
        <v>3</v>
      </c>
      <c r="H106" s="1">
        <v>1</v>
      </c>
      <c r="K106" s="1">
        <v>1</v>
      </c>
      <c r="U106" s="1">
        <v>1</v>
      </c>
    </row>
    <row r="107" spans="1:36" ht="14.5" x14ac:dyDescent="0.35">
      <c r="A107" s="1" t="str">
        <f>NUCLEO!H38</f>
        <v>U5</v>
      </c>
      <c r="B107" s="1" t="s">
        <v>715</v>
      </c>
      <c r="C107" t="str">
        <f>NUCLEO!I38</f>
        <v>NUCLEO-U575ZI-Q (AT2)</v>
      </c>
      <c r="D107" s="1">
        <f>NUCLEO!K38-Roaming!E107</f>
        <v>7</v>
      </c>
      <c r="E107" s="1">
        <f t="shared" si="6"/>
        <v>1</v>
      </c>
      <c r="O107" s="1">
        <v>1</v>
      </c>
      <c r="S107" s="1"/>
    </row>
    <row r="108" spans="1:36" ht="14.5" x14ac:dyDescent="0.35">
      <c r="A108" s="1" t="str">
        <f>NUCLEO!H39</f>
        <v>U5</v>
      </c>
      <c r="B108" s="1" t="s">
        <v>715</v>
      </c>
      <c r="C108" t="str">
        <f>NUCLEO!I39</f>
        <v>NUCLEO-U575ZI-Q (AT3)</v>
      </c>
      <c r="D108" s="1">
        <f>NUCLEO!K39-Roaming!E108</f>
        <v>10</v>
      </c>
      <c r="E108" s="1">
        <f t="shared" si="6"/>
        <v>0</v>
      </c>
      <c r="S108" s="1"/>
    </row>
    <row r="109" spans="1:36" ht="14.5" x14ac:dyDescent="0.35">
      <c r="A109" s="1" t="str">
        <f>NUCLEO!H40</f>
        <v>U5</v>
      </c>
      <c r="B109" s="1" t="s">
        <v>715</v>
      </c>
      <c r="C109" t="str">
        <f>NUCLEO!I40</f>
        <v>NUCLEO-U575ZI-Q (AT4)</v>
      </c>
      <c r="D109" s="1">
        <f>NUCLEO!K40-Roaming!E109</f>
        <v>2</v>
      </c>
      <c r="E109" s="1">
        <f t="shared" ref="E109" si="12">SUM(F109:AJ109)</f>
        <v>0</v>
      </c>
      <c r="S109" s="1"/>
    </row>
    <row r="110" spans="1:36" ht="14.5" x14ac:dyDescent="0.35">
      <c r="A110" s="1" t="str">
        <f>NUCLEO!H41</f>
        <v>U5</v>
      </c>
      <c r="B110" s="1" t="s">
        <v>715</v>
      </c>
      <c r="C110" t="str">
        <f>NUCLEO!I41</f>
        <v>NUCLEO-U5A5ZJ-Q</v>
      </c>
      <c r="D110" s="1">
        <f>NUCLEO!K41-Roaming!E110</f>
        <v>12</v>
      </c>
      <c r="E110" s="1">
        <f t="shared" si="6"/>
        <v>0</v>
      </c>
      <c r="S110" s="1"/>
    </row>
    <row r="111" spans="1:36" s="24" customFormat="1" ht="14.5" x14ac:dyDescent="0.35">
      <c r="A111" s="26"/>
      <c r="B111" s="26"/>
      <c r="C111" s="25"/>
      <c r="D111" s="31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</row>
    <row r="112" spans="1:36" ht="14.5" x14ac:dyDescent="0.35">
      <c r="A112" s="1">
        <f>NUCLEO!H45</f>
        <v>0</v>
      </c>
      <c r="B112" s="1" t="s">
        <v>716</v>
      </c>
      <c r="C112" t="str">
        <f>NUCLEO!I45</f>
        <v>P-NUCLEO-53L4A2</v>
      </c>
      <c r="D112" s="1">
        <f>NUCLEO!K45-Roaming!E112</f>
        <v>2</v>
      </c>
      <c r="E112" s="1">
        <f t="shared" ref="E112:E118" si="13">SUM(F112:AJ112)</f>
        <v>0</v>
      </c>
    </row>
    <row r="113" spans="1:36" ht="14.5" x14ac:dyDescent="0.35">
      <c r="A113" s="1" t="str">
        <f>NUCLEO!H46</f>
        <v>F0</v>
      </c>
      <c r="B113" s="1" t="s">
        <v>716</v>
      </c>
      <c r="C113" t="str">
        <f>NUCLEO!I46</f>
        <v>P-NUCLEO-USB001</v>
      </c>
      <c r="D113" s="1">
        <f>NUCLEO!K46-Roaming!E113</f>
        <v>1</v>
      </c>
      <c r="E113" s="1">
        <f t="shared" si="13"/>
        <v>0</v>
      </c>
    </row>
    <row r="114" spans="1:36" ht="14.5" x14ac:dyDescent="0.35">
      <c r="A114" s="1" t="str">
        <f>NUCLEO!H47</f>
        <v>F0</v>
      </c>
      <c r="B114" s="1" t="s">
        <v>716</v>
      </c>
      <c r="C114" t="str">
        <f>NUCLEO!I47</f>
        <v>P-NUCLEO-USB002</v>
      </c>
      <c r="D114" s="1">
        <f>NUCLEO!K47-Roaming!E114</f>
        <v>2</v>
      </c>
      <c r="E114" s="1">
        <f t="shared" si="13"/>
        <v>0</v>
      </c>
    </row>
    <row r="115" spans="1:36" ht="14.5" x14ac:dyDescent="0.35">
      <c r="A115" s="1" t="str">
        <f>NUCLEO!H48</f>
        <v>F7-F4</v>
      </c>
      <c r="B115" s="1" t="s">
        <v>716</v>
      </c>
      <c r="C115" t="str">
        <f>NUCLEO!I48</f>
        <v>P-NUCLEO-LRWAN2</v>
      </c>
      <c r="D115" s="1">
        <f>NUCLEO!K48-Roaming!E115</f>
        <v>4</v>
      </c>
      <c r="E115" s="1">
        <f t="shared" si="13"/>
        <v>0</v>
      </c>
    </row>
    <row r="116" spans="1:36" ht="14.5" x14ac:dyDescent="0.35">
      <c r="A116" s="1" t="str">
        <f>NUCLEO!H49</f>
        <v>L4</v>
      </c>
      <c r="B116" s="1" t="s">
        <v>716</v>
      </c>
      <c r="C116" t="str">
        <f>NUCLEO!I49</f>
        <v>P-L496G-CELL01</v>
      </c>
      <c r="D116" s="1">
        <f>NUCLEO!K49-Roaming!E116</f>
        <v>5</v>
      </c>
      <c r="E116" s="1">
        <f t="shared" si="13"/>
        <v>0</v>
      </c>
    </row>
    <row r="117" spans="1:36" ht="14.5" x14ac:dyDescent="0.35">
      <c r="A117" s="1" t="str">
        <f>NUCLEO!H50</f>
        <v>L4</v>
      </c>
      <c r="B117" s="1" t="s">
        <v>716</v>
      </c>
      <c r="C117" t="str">
        <f>NUCLEO!I50</f>
        <v>P-L496G-CELL02</v>
      </c>
      <c r="D117" s="1">
        <f>NUCLEO!K50-Roaming!E117</f>
        <v>4</v>
      </c>
      <c r="E117" s="1">
        <f t="shared" si="13"/>
        <v>0</v>
      </c>
    </row>
    <row r="118" spans="1:36" ht="14.5" x14ac:dyDescent="0.35">
      <c r="A118" s="1" t="str">
        <f>NUCLEO!H51</f>
        <v>WB</v>
      </c>
      <c r="B118" s="1" t="s">
        <v>716</v>
      </c>
      <c r="C118" t="str">
        <f>NUCLEO!I51</f>
        <v>P-NUCLEO-WB55</v>
      </c>
      <c r="D118" s="1">
        <f>NUCLEO!K51-Roaming!E118</f>
        <v>5</v>
      </c>
      <c r="E118" s="1">
        <f t="shared" si="13"/>
        <v>2</v>
      </c>
      <c r="K118" s="1">
        <v>2</v>
      </c>
    </row>
    <row r="119" spans="1:36" s="24" customFormat="1" ht="14.5" x14ac:dyDescent="0.35">
      <c r="A119" s="26"/>
      <c r="B119" s="26"/>
      <c r="C119" s="25"/>
      <c r="D119" s="31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</row>
    <row r="120" spans="1:36" ht="14.5" x14ac:dyDescent="0.35">
      <c r="A120" s="1" t="str">
        <f>'DISCOVERY-EVAL'!A3</f>
        <v>STLINK</v>
      </c>
      <c r="B120" s="1" t="s">
        <v>717</v>
      </c>
      <c r="C120" t="str">
        <f>'DISCOVERY-EVAL'!B3</f>
        <v>B-STLINK-VOLT</v>
      </c>
      <c r="D120" s="1">
        <f>'DISCOVERY-EVAL'!D3-Roaming!E120</f>
        <v>5</v>
      </c>
      <c r="E120" s="1">
        <f t="shared" ref="E120:E154" si="14">SUM(F120:AJ120)</f>
        <v>0</v>
      </c>
    </row>
    <row r="121" spans="1:36" ht="14.5" x14ac:dyDescent="0.35">
      <c r="A121" s="1" t="str">
        <f>'DISCOVERY-EVAL'!A4</f>
        <v>G4</v>
      </c>
      <c r="B121" s="1" t="s">
        <v>717</v>
      </c>
      <c r="C121" t="str">
        <f>'DISCOVERY-EVAL'!B4</f>
        <v>B-G431B-ESC1</v>
      </c>
      <c r="D121" s="1">
        <f>'DISCOVERY-EVAL'!D4-Roaming!E121</f>
        <v>4</v>
      </c>
      <c r="E121" s="1">
        <f t="shared" si="14"/>
        <v>0</v>
      </c>
    </row>
    <row r="122" spans="1:36" ht="14.5" x14ac:dyDescent="0.35">
      <c r="A122" s="1" t="str">
        <f>'DISCOVERY-EVAL'!A5</f>
        <v>G4</v>
      </c>
      <c r="B122" s="1" t="s">
        <v>717</v>
      </c>
      <c r="C122" t="str">
        <f>'DISCOVERY-EVAL'!B5</f>
        <v>B-G474E-DPOW1</v>
      </c>
      <c r="D122" s="1">
        <f>'DISCOVERY-EVAL'!D5-Roaming!E122</f>
        <v>5</v>
      </c>
      <c r="E122" s="1">
        <f t="shared" si="14"/>
        <v>0</v>
      </c>
    </row>
    <row r="123" spans="1:36" ht="14.5" x14ac:dyDescent="0.35">
      <c r="A123" s="1" t="str">
        <f>'DISCOVERY-EVAL'!A6</f>
        <v>L0</v>
      </c>
      <c r="B123" s="1" t="s">
        <v>717</v>
      </c>
      <c r="C123" t="str">
        <f>'DISCOVERY-EVAL'!B6</f>
        <v>B-L072Z-LRWAN1</v>
      </c>
      <c r="D123" s="1">
        <f>'DISCOVERY-EVAL'!D6-Roaming!E123</f>
        <v>10</v>
      </c>
      <c r="E123" s="1">
        <f t="shared" si="14"/>
        <v>0</v>
      </c>
    </row>
    <row r="124" spans="1:36" ht="14.5" x14ac:dyDescent="0.35">
      <c r="A124" s="1" t="str">
        <f>'DISCOVERY-EVAL'!A7</f>
        <v>L4</v>
      </c>
      <c r="B124" s="1" t="s">
        <v>717</v>
      </c>
      <c r="C124" t="str">
        <f>'DISCOVERY-EVAL'!B7</f>
        <v>B-L462E-CELL1</v>
      </c>
      <c r="D124" s="1">
        <f>'DISCOVERY-EVAL'!D7-Roaming!E124</f>
        <v>6</v>
      </c>
      <c r="E124" s="1">
        <f t="shared" si="14"/>
        <v>0</v>
      </c>
    </row>
    <row r="125" spans="1:36" ht="14.5" x14ac:dyDescent="0.35">
      <c r="A125" s="1" t="str">
        <f>'DISCOVERY-EVAL'!A8</f>
        <v>L4</v>
      </c>
      <c r="B125" s="1" t="s">
        <v>717</v>
      </c>
      <c r="C125" t="str">
        <f>'DISCOVERY-EVAL'!B8</f>
        <v>B-L475E-IOT01A1</v>
      </c>
      <c r="D125" s="1">
        <f>'DISCOVERY-EVAL'!D8-Roaming!E125</f>
        <v>14</v>
      </c>
      <c r="E125" s="1">
        <f t="shared" si="14"/>
        <v>0</v>
      </c>
    </row>
    <row r="126" spans="1:36" ht="14.5" x14ac:dyDescent="0.35">
      <c r="A126" s="1" t="str">
        <f>'DISCOVERY-EVAL'!A9</f>
        <v>L4</v>
      </c>
      <c r="B126" s="1" t="s">
        <v>717</v>
      </c>
      <c r="C126" t="str">
        <f>'DISCOVERY-EVAL'!B9</f>
        <v>B-L475E-IOT01A2</v>
      </c>
      <c r="D126" s="1">
        <f>'DISCOVERY-EVAL'!D9-Roaming!E126</f>
        <v>4</v>
      </c>
      <c r="E126" s="1">
        <f t="shared" si="14"/>
        <v>0</v>
      </c>
    </row>
    <row r="127" spans="1:36" ht="14.5" x14ac:dyDescent="0.35">
      <c r="A127" s="1" t="str">
        <f>'DISCOVERY-EVAL'!A10</f>
        <v>L4</v>
      </c>
      <c r="B127" s="1" t="s">
        <v>717</v>
      </c>
      <c r="C127" t="str">
        <f>'DISCOVERY-EVAL'!B10</f>
        <v>B-L4S5I-IOT01A</v>
      </c>
      <c r="D127" s="1">
        <f>'DISCOVERY-EVAL'!D10-Roaming!E127</f>
        <v>9</v>
      </c>
      <c r="E127" s="1">
        <f t="shared" si="14"/>
        <v>0</v>
      </c>
    </row>
    <row r="128" spans="1:36" ht="14.5" x14ac:dyDescent="0.35">
      <c r="A128" s="1" t="str">
        <f>'DISCOVERY-EVAL'!A11</f>
        <v>U5</v>
      </c>
      <c r="B128" s="1" t="s">
        <v>717</v>
      </c>
      <c r="C128" t="str">
        <f>'DISCOVERY-EVAL'!B11</f>
        <v>B-U585I-IOT02A (GT2)</v>
      </c>
      <c r="D128" s="1">
        <f>'DISCOVERY-EVAL'!D11-Roaming!E128</f>
        <v>10</v>
      </c>
      <c r="E128" s="1">
        <f t="shared" si="14"/>
        <v>5</v>
      </c>
      <c r="K128" s="1">
        <v>1</v>
      </c>
      <c r="L128" s="1">
        <v>2</v>
      </c>
      <c r="Y128" s="1">
        <v>1</v>
      </c>
      <c r="AA128" s="1">
        <v>1</v>
      </c>
    </row>
    <row r="129" spans="1:5" ht="14.5" x14ac:dyDescent="0.35">
      <c r="A129" s="1" t="str">
        <f>'DISCOVERY-EVAL'!A12</f>
        <v>U5</v>
      </c>
      <c r="B129" s="1" t="s">
        <v>717</v>
      </c>
      <c r="C129" t="str">
        <f>'DISCOVERY-EVAL'!B12</f>
        <v>B-U585I-IOT02A (GT5)</v>
      </c>
      <c r="D129" s="1">
        <f>'DISCOVERY-EVAL'!D12-Roaming!E129</f>
        <v>1</v>
      </c>
      <c r="E129" s="1">
        <f t="shared" si="14"/>
        <v>0</v>
      </c>
    </row>
    <row r="130" spans="1:5" ht="14.5" x14ac:dyDescent="0.35">
      <c r="A130" s="1" t="str">
        <f>'DISCOVERY-EVAL'!A13</f>
        <v>WB</v>
      </c>
      <c r="B130" s="1" t="s">
        <v>717</v>
      </c>
      <c r="C130" t="str">
        <f>'DISCOVERY-EVAL'!B13</f>
        <v>B-WB1M-WPAN1 (MZ2)</v>
      </c>
      <c r="D130" s="1">
        <f>'DISCOVERY-EVAL'!D13-Roaming!E130</f>
        <v>6</v>
      </c>
      <c r="E130" s="1">
        <f t="shared" si="14"/>
        <v>0</v>
      </c>
    </row>
    <row r="131" spans="1:5" ht="14.5" x14ac:dyDescent="0.35">
      <c r="A131" s="1" t="str">
        <f>'DISCOVERY-EVAL'!A14</f>
        <v>WB</v>
      </c>
      <c r="B131" s="1" t="s">
        <v>717</v>
      </c>
      <c r="C131" t="str">
        <f>'DISCOVERY-EVAL'!B14</f>
        <v>B-WBA5M-WPAN (CZ2)</v>
      </c>
      <c r="D131" s="1">
        <f>'DISCOVERY-EVAL'!D14-Roaming!E131</f>
        <v>4</v>
      </c>
      <c r="E131" s="1">
        <f t="shared" ref="E131" si="15">SUM(F131:AJ131)</f>
        <v>0</v>
      </c>
    </row>
    <row r="132" spans="1:5" ht="14.5" x14ac:dyDescent="0.35">
      <c r="A132" s="1" t="str">
        <f>'DISCOVERY-EVAL'!A15</f>
        <v>WL</v>
      </c>
      <c r="B132" s="1" t="s">
        <v>717</v>
      </c>
      <c r="C132" t="str">
        <f>'DISCOVERY-EVAL'!B15</f>
        <v>B-WL5M-SUBG1 (CZ1)</v>
      </c>
      <c r="D132" s="1">
        <f>'DISCOVERY-EVAL'!D15-Roaming!E132</f>
        <v>4</v>
      </c>
      <c r="E132" s="1">
        <f t="shared" ref="E132" si="16">SUM(F132:AJ132)</f>
        <v>0</v>
      </c>
    </row>
    <row r="133" spans="1:5" ht="14.5" x14ac:dyDescent="0.35">
      <c r="A133" s="1" t="str">
        <f>'DISCOVERY-EVAL'!A16</f>
        <v>C0</v>
      </c>
      <c r="B133" s="1" t="s">
        <v>717</v>
      </c>
      <c r="C133" t="str">
        <f>'DISCOVERY-EVAL'!B16</f>
        <v>STM32C0116-DK</v>
      </c>
      <c r="D133" s="1">
        <f>'DISCOVERY-EVAL'!D16-Roaming!E133</f>
        <v>10</v>
      </c>
      <c r="E133" s="1">
        <f t="shared" si="14"/>
        <v>0</v>
      </c>
    </row>
    <row r="134" spans="1:5" ht="14.5" x14ac:dyDescent="0.35">
      <c r="A134" s="1" t="str">
        <f>'DISCOVERY-EVAL'!A17</f>
        <v>C0</v>
      </c>
      <c r="B134" s="1" t="s">
        <v>717</v>
      </c>
      <c r="C134" t="str">
        <f>'DISCOVERY-EVAL'!B17</f>
        <v>STM32C0316-DK</v>
      </c>
      <c r="D134" s="1">
        <f>'DISCOVERY-EVAL'!D17-Roaming!E134</f>
        <v>10</v>
      </c>
      <c r="E134" s="1">
        <f t="shared" si="14"/>
        <v>0</v>
      </c>
    </row>
    <row r="135" spans="1:5" ht="14.5" x14ac:dyDescent="0.35">
      <c r="A135" s="1" t="str">
        <f>'DISCOVERY-EVAL'!A18</f>
        <v>F0</v>
      </c>
      <c r="B135" s="1" t="s">
        <v>717</v>
      </c>
      <c r="C135" t="str">
        <f>'DISCOVERY-EVAL'!B18</f>
        <v>STM32F0308-DISCO</v>
      </c>
      <c r="D135" s="1">
        <f>'DISCOVERY-EVAL'!D18-Roaming!E135</f>
        <v>3</v>
      </c>
      <c r="E135" s="1">
        <f t="shared" si="14"/>
        <v>0</v>
      </c>
    </row>
    <row r="136" spans="1:5" ht="14.5" x14ac:dyDescent="0.35">
      <c r="A136" s="1" t="str">
        <f>'DISCOVERY-EVAL'!A19</f>
        <v>F0</v>
      </c>
      <c r="B136" s="1" t="s">
        <v>717</v>
      </c>
      <c r="C136" t="str">
        <f>'DISCOVERY-EVAL'!B19</f>
        <v>STM32F072B-DISCO</v>
      </c>
      <c r="D136" s="1">
        <f>'DISCOVERY-EVAL'!D19-Roaming!E136</f>
        <v>5</v>
      </c>
      <c r="E136" s="1">
        <f t="shared" si="14"/>
        <v>0</v>
      </c>
    </row>
    <row r="137" spans="1:5" ht="14.5" x14ac:dyDescent="0.35">
      <c r="A137" s="1" t="str">
        <f>'DISCOVERY-EVAL'!A20</f>
        <v>F1</v>
      </c>
      <c r="B137" s="1" t="s">
        <v>717</v>
      </c>
      <c r="C137" t="str">
        <f>'DISCOVERY-EVAL'!B20</f>
        <v>STM32VLDISCOVERY</v>
      </c>
      <c r="D137" s="1">
        <f>'DISCOVERY-EVAL'!D20-Roaming!E137</f>
        <v>1</v>
      </c>
      <c r="E137" s="1">
        <f t="shared" si="14"/>
        <v>0</v>
      </c>
    </row>
    <row r="138" spans="1:5" ht="14.5" x14ac:dyDescent="0.35">
      <c r="A138" s="1" t="str">
        <f>'DISCOVERY-EVAL'!A21</f>
        <v>F3</v>
      </c>
      <c r="B138" s="1" t="s">
        <v>717</v>
      </c>
      <c r="C138" t="str">
        <f>'DISCOVERY-EVAL'!B21</f>
        <v>STM32F3348-DISCO</v>
      </c>
      <c r="D138" s="1">
        <f>'DISCOVERY-EVAL'!D21-Roaming!E138</f>
        <v>1</v>
      </c>
      <c r="E138" s="1">
        <f t="shared" si="14"/>
        <v>0</v>
      </c>
    </row>
    <row r="139" spans="1:5" ht="14.5" x14ac:dyDescent="0.35">
      <c r="A139" s="1" t="str">
        <f>'DISCOVERY-EVAL'!A22</f>
        <v>F3</v>
      </c>
      <c r="B139" s="1" t="s">
        <v>717</v>
      </c>
      <c r="C139" t="str">
        <f>'DISCOVERY-EVAL'!B22</f>
        <v>STM32F3DISCOVERY</v>
      </c>
      <c r="D139" s="1">
        <f>'DISCOVERY-EVAL'!D22-Roaming!E139</f>
        <v>6</v>
      </c>
      <c r="E139" s="1">
        <f t="shared" si="14"/>
        <v>0</v>
      </c>
    </row>
    <row r="140" spans="1:5" ht="14.5" x14ac:dyDescent="0.35">
      <c r="A140" s="1" t="str">
        <f>'DISCOVERY-EVAL'!A23</f>
        <v>F4</v>
      </c>
      <c r="B140" s="1" t="s">
        <v>717</v>
      </c>
      <c r="C140" t="str">
        <f>'DISCOVERY-EVAL'!B23</f>
        <v>STM32F401C-DISCO</v>
      </c>
      <c r="D140" s="1">
        <f>'DISCOVERY-EVAL'!D23-Roaming!E140</f>
        <v>2</v>
      </c>
      <c r="E140" s="1">
        <f t="shared" si="14"/>
        <v>0</v>
      </c>
    </row>
    <row r="141" spans="1:5" ht="14.5" x14ac:dyDescent="0.35">
      <c r="A141" s="1" t="str">
        <f>'DISCOVERY-EVAL'!A24</f>
        <v>F4</v>
      </c>
      <c r="B141" s="1" t="s">
        <v>717</v>
      </c>
      <c r="C141" t="str">
        <f>'DISCOVERY-EVAL'!B24</f>
        <v>ST23DV-Discovery Kit</v>
      </c>
      <c r="D141" s="1">
        <f>'DISCOVERY-EVAL'!D24-Roaming!E141</f>
        <v>1</v>
      </c>
      <c r="E141" s="1">
        <f t="shared" si="14"/>
        <v>0</v>
      </c>
    </row>
    <row r="142" spans="1:5" ht="14.5" x14ac:dyDescent="0.35">
      <c r="A142" s="1" t="str">
        <f>'DISCOVERY-EVAL'!A25</f>
        <v>F4</v>
      </c>
      <c r="B142" s="1" t="s">
        <v>717</v>
      </c>
      <c r="C142" t="str">
        <f>'DISCOVERY-EVAL'!B25</f>
        <v>STM32F407G-DISC1</v>
      </c>
      <c r="D142" s="1">
        <f>'DISCOVERY-EVAL'!D25-Roaming!E142</f>
        <v>9</v>
      </c>
      <c r="E142" s="1">
        <f t="shared" si="14"/>
        <v>0</v>
      </c>
    </row>
    <row r="143" spans="1:5" ht="14.5" x14ac:dyDescent="0.35">
      <c r="A143" s="1" t="str">
        <f>'DISCOVERY-EVAL'!A26</f>
        <v>F4</v>
      </c>
      <c r="B143" s="1" t="s">
        <v>717</v>
      </c>
      <c r="C143" t="str">
        <f>'DISCOVERY-EVAL'!B26</f>
        <v>STM32F411E-DISCO</v>
      </c>
      <c r="D143" s="1">
        <f>'DISCOVERY-EVAL'!D26-Roaming!E143</f>
        <v>4</v>
      </c>
      <c r="E143" s="1">
        <f t="shared" si="14"/>
        <v>0</v>
      </c>
    </row>
    <row r="144" spans="1:5" ht="14.5" x14ac:dyDescent="0.35">
      <c r="A144" s="1" t="str">
        <f>'DISCOVERY-EVAL'!A27</f>
        <v>F4</v>
      </c>
      <c r="B144" s="1" t="s">
        <v>717</v>
      </c>
      <c r="C144" t="str">
        <f>'DISCOVERY-EVAL'!B27</f>
        <v>STM32F412G-DISCO</v>
      </c>
      <c r="D144" s="1">
        <f>'DISCOVERY-EVAL'!D27-Roaming!E144</f>
        <v>8</v>
      </c>
      <c r="E144" s="1">
        <f t="shared" si="14"/>
        <v>0</v>
      </c>
    </row>
    <row r="145" spans="1:21" ht="14.5" x14ac:dyDescent="0.35">
      <c r="A145" s="1" t="str">
        <f>'DISCOVERY-EVAL'!A28</f>
        <v>F4</v>
      </c>
      <c r="B145" s="1" t="s">
        <v>717</v>
      </c>
      <c r="C145" t="str">
        <f>'DISCOVERY-EVAL'!B28</f>
        <v>STM32F413H-DISCO</v>
      </c>
      <c r="D145" s="1">
        <f>'DISCOVERY-EVAL'!D28-Roaming!E145</f>
        <v>7</v>
      </c>
      <c r="E145" s="1">
        <f t="shared" si="14"/>
        <v>0</v>
      </c>
    </row>
    <row r="146" spans="1:21" ht="14.5" x14ac:dyDescent="0.35">
      <c r="A146" s="1" t="str">
        <f>'DISCOVERY-EVAL'!A29</f>
        <v>F4</v>
      </c>
      <c r="B146" s="1" t="s">
        <v>717</v>
      </c>
      <c r="C146" t="str">
        <f>'DISCOVERY-EVAL'!B29</f>
        <v>STM32F429I-DISCO</v>
      </c>
      <c r="D146" s="1">
        <f>'DISCOVERY-EVAL'!D29-Roaming!E146</f>
        <v>3</v>
      </c>
      <c r="E146" s="1">
        <f t="shared" si="14"/>
        <v>0</v>
      </c>
    </row>
    <row r="147" spans="1:21" ht="14.5" x14ac:dyDescent="0.35">
      <c r="A147" s="1" t="str">
        <f>'DISCOVERY-EVAL'!A30</f>
        <v>F4</v>
      </c>
      <c r="B147" s="1" t="s">
        <v>717</v>
      </c>
      <c r="C147" t="str">
        <f>'DISCOVERY-EVAL'!B30</f>
        <v>STM32F429I-DISC1</v>
      </c>
      <c r="D147" s="1">
        <f>'DISCOVERY-EVAL'!D30-Roaming!E147</f>
        <v>7</v>
      </c>
      <c r="E147" s="1">
        <f t="shared" si="14"/>
        <v>0</v>
      </c>
    </row>
    <row r="148" spans="1:21" ht="14.5" x14ac:dyDescent="0.35">
      <c r="A148" s="1" t="str">
        <f>'DISCOVERY-EVAL'!A31</f>
        <v>F4</v>
      </c>
      <c r="B148" s="1" t="s">
        <v>717</v>
      </c>
      <c r="C148" t="str">
        <f>'DISCOVERY-EVAL'!B31</f>
        <v>STM32F469I-DISCO</v>
      </c>
      <c r="D148" s="1">
        <f>'DISCOVERY-EVAL'!D31-Roaming!E148</f>
        <v>8</v>
      </c>
      <c r="E148" s="1">
        <f t="shared" si="14"/>
        <v>2</v>
      </c>
      <c r="H148" s="1">
        <v>1</v>
      </c>
      <c r="K148" s="1">
        <v>1</v>
      </c>
    </row>
    <row r="149" spans="1:21" ht="14.5" x14ac:dyDescent="0.35">
      <c r="A149" s="1" t="str">
        <f>'DISCOVERY-EVAL'!A32</f>
        <v>F7</v>
      </c>
      <c r="B149" s="1" t="s">
        <v>717</v>
      </c>
      <c r="C149" t="str">
        <f>'DISCOVERY-EVAL'!B32</f>
        <v>STM32F723E-DISCO</v>
      </c>
      <c r="D149" s="1">
        <f>'DISCOVERY-EVAL'!D32-Roaming!E149</f>
        <v>5</v>
      </c>
      <c r="E149" s="1">
        <f t="shared" si="14"/>
        <v>0</v>
      </c>
    </row>
    <row r="150" spans="1:21" ht="14.5" x14ac:dyDescent="0.35">
      <c r="A150" s="1" t="str">
        <f>'DISCOVERY-EVAL'!A33</f>
        <v>F7</v>
      </c>
      <c r="B150" s="1" t="s">
        <v>717</v>
      </c>
      <c r="C150" t="str">
        <f>'DISCOVERY-EVAL'!B33</f>
        <v>STM32F7308-DK</v>
      </c>
      <c r="D150" s="1">
        <f>'DISCOVERY-EVAL'!D33-Roaming!E150</f>
        <v>2</v>
      </c>
      <c r="E150" s="1">
        <f t="shared" si="14"/>
        <v>0</v>
      </c>
    </row>
    <row r="151" spans="1:21" ht="14.5" x14ac:dyDescent="0.35">
      <c r="A151" s="1" t="str">
        <f>'DISCOVERY-EVAL'!A34</f>
        <v>F7</v>
      </c>
      <c r="B151" s="1" t="s">
        <v>717</v>
      </c>
      <c r="C151" t="str">
        <f>'DISCOVERY-EVAL'!B34</f>
        <v>STM32F746G-DISCO</v>
      </c>
      <c r="D151" s="1">
        <f>'DISCOVERY-EVAL'!D34-Roaming!E151</f>
        <v>12</v>
      </c>
      <c r="E151" s="1">
        <f t="shared" si="14"/>
        <v>0</v>
      </c>
    </row>
    <row r="152" spans="1:21" ht="14.5" x14ac:dyDescent="0.35">
      <c r="A152" s="1" t="str">
        <f>'DISCOVERY-EVAL'!A35</f>
        <v>F7</v>
      </c>
      <c r="B152" s="1" t="s">
        <v>717</v>
      </c>
      <c r="C152" t="str">
        <f>'DISCOVERY-EVAL'!B35</f>
        <v>STM32F746G-DISCO (CU2)</v>
      </c>
      <c r="D152" s="1">
        <f>'DISCOVERY-EVAL'!D35-Roaming!E152</f>
        <v>4</v>
      </c>
      <c r="E152" s="1">
        <f t="shared" si="14"/>
        <v>0</v>
      </c>
    </row>
    <row r="153" spans="1:21" ht="14.5" x14ac:dyDescent="0.35">
      <c r="A153" s="1" t="str">
        <f>'DISCOVERY-EVAL'!A36</f>
        <v>F8</v>
      </c>
      <c r="B153" s="1" t="s">
        <v>717</v>
      </c>
      <c r="C153" t="str">
        <f>'DISCOVERY-EVAL'!B36</f>
        <v>STM32F746G-DISCO (CU4)</v>
      </c>
      <c r="D153" s="1">
        <f>'DISCOVERY-EVAL'!D36-Roaming!E153</f>
        <v>4</v>
      </c>
      <c r="E153" s="1">
        <f t="shared" ref="E153" si="17">SUM(F153:AJ153)</f>
        <v>0</v>
      </c>
    </row>
    <row r="154" spans="1:21" ht="14.5" x14ac:dyDescent="0.35">
      <c r="A154" s="1" t="str">
        <f>'DISCOVERY-EVAL'!A37</f>
        <v>F7</v>
      </c>
      <c r="B154" s="1" t="s">
        <v>717</v>
      </c>
      <c r="C154" t="str">
        <f>'DISCOVERY-EVAL'!B37</f>
        <v>STM32F7508-DK</v>
      </c>
      <c r="D154" s="1">
        <f>'DISCOVERY-EVAL'!D37-Roaming!E154</f>
        <v>4</v>
      </c>
      <c r="E154" s="1">
        <f t="shared" si="14"/>
        <v>0</v>
      </c>
    </row>
    <row r="155" spans="1:21" ht="14.5" x14ac:dyDescent="0.35">
      <c r="A155" s="1" t="str">
        <f>'DISCOVERY-EVAL'!A38</f>
        <v>F7</v>
      </c>
      <c r="B155" s="1" t="s">
        <v>717</v>
      </c>
      <c r="C155" t="str">
        <f>'DISCOVERY-EVAL'!B38</f>
        <v>STM32F769I-DISC1</v>
      </c>
      <c r="D155" s="1">
        <f>'DISCOVERY-EVAL'!D38-Roaming!E155</f>
        <v>1</v>
      </c>
      <c r="E155" s="1">
        <f t="shared" ref="E155:E194" si="18">SUM(F155:AJ155)</f>
        <v>1</v>
      </c>
      <c r="H155" s="1">
        <v>1</v>
      </c>
    </row>
    <row r="156" spans="1:21" ht="14.5" x14ac:dyDescent="0.35">
      <c r="A156" s="1" t="str">
        <f>'DISCOVERY-EVAL'!A39</f>
        <v>F7</v>
      </c>
      <c r="B156" s="1" t="s">
        <v>717</v>
      </c>
      <c r="C156" t="str">
        <f>'DISCOVERY-EVAL'!B39</f>
        <v>STM32F769I-DISCO</v>
      </c>
      <c r="D156" s="1">
        <f>'DISCOVERY-EVAL'!D39-Roaming!E156</f>
        <v>12</v>
      </c>
      <c r="E156" s="1">
        <f t="shared" si="18"/>
        <v>0</v>
      </c>
    </row>
    <row r="157" spans="1:21" ht="14.5" x14ac:dyDescent="0.35">
      <c r="A157" s="1" t="str">
        <f>'DISCOVERY-EVAL'!A40</f>
        <v>F7</v>
      </c>
      <c r="B157" s="1" t="s">
        <v>717</v>
      </c>
      <c r="C157" t="str">
        <f>'DISCOVERY-EVAL'!B40</f>
        <v>STM32F769I-DISCO (AU1)</v>
      </c>
      <c r="D157" s="1">
        <f>'DISCOVERY-EVAL'!D40-Roaming!E157</f>
        <v>2</v>
      </c>
      <c r="E157" s="1">
        <f t="shared" si="18"/>
        <v>0</v>
      </c>
    </row>
    <row r="158" spans="1:21" ht="14.5" x14ac:dyDescent="0.35">
      <c r="A158" s="1" t="str">
        <f>'DISCOVERY-EVAL'!A41</f>
        <v>G0</v>
      </c>
      <c r="B158" s="1" t="s">
        <v>717</v>
      </c>
      <c r="C158" t="str">
        <f>'DISCOVERY-EVAL'!B41</f>
        <v>STM32G0316-DISCO</v>
      </c>
      <c r="D158" s="1">
        <f>'DISCOVERY-EVAL'!D41-Roaming!E158</f>
        <v>4</v>
      </c>
      <c r="E158" s="1">
        <f t="shared" si="18"/>
        <v>1</v>
      </c>
      <c r="H158" s="1">
        <v>1</v>
      </c>
    </row>
    <row r="159" spans="1:21" ht="14.5" x14ac:dyDescent="0.35">
      <c r="A159" s="1" t="str">
        <f>'DISCOVERY-EVAL'!A42</f>
        <v>G0</v>
      </c>
      <c r="B159" s="1" t="s">
        <v>717</v>
      </c>
      <c r="C159" t="str">
        <f>'DISCOVERY-EVAL'!B42</f>
        <v>STM32G071B-DISCO</v>
      </c>
      <c r="D159" s="1">
        <f>'DISCOVERY-EVAL'!D42-Roaming!E159</f>
        <v>7</v>
      </c>
      <c r="E159" s="1">
        <f t="shared" si="18"/>
        <v>0</v>
      </c>
    </row>
    <row r="160" spans="1:21" ht="14.5" x14ac:dyDescent="0.35">
      <c r="A160" s="1" t="str">
        <f>'DISCOVERY-EVAL'!A43</f>
        <v>H5</v>
      </c>
      <c r="B160" s="1" t="s">
        <v>717</v>
      </c>
      <c r="C160" t="str">
        <f>'DISCOVERY-EVAL'!B43</f>
        <v>STM32H573I-DK (MT3)</v>
      </c>
      <c r="D160" s="1">
        <f>'DISCOVERY-EVAL'!D43-Roaming!E160</f>
        <v>2</v>
      </c>
      <c r="E160" s="1">
        <f t="shared" si="18"/>
        <v>2</v>
      </c>
      <c r="U160" s="1">
        <v>2</v>
      </c>
    </row>
    <row r="161" spans="1:34" ht="14.5" x14ac:dyDescent="0.35">
      <c r="A161" s="1" t="str">
        <f>'DISCOVERY-EVAL'!A44</f>
        <v>H5</v>
      </c>
      <c r="B161" s="1" t="s">
        <v>717</v>
      </c>
      <c r="C161" t="str">
        <f>'DISCOVERY-EVAL'!B44</f>
        <v>STM32H573I-DK (MR1)</v>
      </c>
      <c r="D161" s="1">
        <f>'DISCOVERY-EVAL'!D44-Roaming!E161</f>
        <v>7</v>
      </c>
      <c r="E161" s="1">
        <f t="shared" si="18"/>
        <v>1</v>
      </c>
      <c r="U161" s="1">
        <v>1</v>
      </c>
    </row>
    <row r="162" spans="1:34" ht="14.5" x14ac:dyDescent="0.35">
      <c r="A162" s="1" t="str">
        <f>'DISCOVERY-EVAL'!A45</f>
        <v>H7</v>
      </c>
      <c r="B162" s="1" t="s">
        <v>717</v>
      </c>
      <c r="C162" t="str">
        <f>'DISCOVERY-EVAL'!B45</f>
        <v>STM32H725G-DK</v>
      </c>
      <c r="D162" s="1">
        <f>'DISCOVERY-EVAL'!D45-Roaming!E162</f>
        <v>2</v>
      </c>
      <c r="E162" s="1">
        <f t="shared" si="18"/>
        <v>0</v>
      </c>
    </row>
    <row r="163" spans="1:34" ht="14.5" x14ac:dyDescent="0.35">
      <c r="A163" s="1" t="str">
        <f>'DISCOVERY-EVAL'!A46</f>
        <v>H7</v>
      </c>
      <c r="B163" s="1" t="s">
        <v>717</v>
      </c>
      <c r="C163" t="str">
        <f>'DISCOVERY-EVAL'!B46</f>
        <v>STM32H735G-DK</v>
      </c>
      <c r="D163" s="1">
        <f>'DISCOVERY-EVAL'!D46-Roaming!E163</f>
        <v>6</v>
      </c>
      <c r="E163" s="1">
        <f t="shared" si="18"/>
        <v>1</v>
      </c>
      <c r="AH163" s="1">
        <v>1</v>
      </c>
    </row>
    <row r="164" spans="1:34" ht="14.5" x14ac:dyDescent="0.35">
      <c r="A164" s="1" t="str">
        <f>'DISCOVERY-EVAL'!A47</f>
        <v>H7</v>
      </c>
      <c r="B164" s="1" t="s">
        <v>717</v>
      </c>
      <c r="C164" t="str">
        <f>'DISCOVERY-EVAL'!B47</f>
        <v>STM32H745I-DISCO</v>
      </c>
      <c r="D164" s="1">
        <f>'DISCOVERY-EVAL'!D47-Roaming!E164</f>
        <v>5</v>
      </c>
      <c r="E164" s="1">
        <f t="shared" si="18"/>
        <v>0</v>
      </c>
    </row>
    <row r="165" spans="1:34" ht="14.5" x14ac:dyDescent="0.35">
      <c r="A165" s="1" t="str">
        <f>'DISCOVERY-EVAL'!A48</f>
        <v>H7</v>
      </c>
      <c r="B165" s="1" t="s">
        <v>717</v>
      </c>
      <c r="C165" t="str">
        <f>'DISCOVERY-EVAL'!B48</f>
        <v>STM32H747I-DISC1</v>
      </c>
      <c r="D165" s="1">
        <f>'DISCOVERY-EVAL'!D48-Roaming!E165</f>
        <v>3</v>
      </c>
      <c r="E165" s="1">
        <f t="shared" si="18"/>
        <v>0</v>
      </c>
    </row>
    <row r="166" spans="1:34" ht="14.5" x14ac:dyDescent="0.35">
      <c r="A166" s="1" t="str">
        <f>'DISCOVERY-EVAL'!A49</f>
        <v>H7</v>
      </c>
      <c r="B166" s="1" t="s">
        <v>717</v>
      </c>
      <c r="C166" t="str">
        <f>'DISCOVERY-EVAL'!B49</f>
        <v>STM32H747I-DISCO</v>
      </c>
      <c r="D166" s="1">
        <f>'DISCOVERY-EVAL'!D49-Roaming!E166</f>
        <v>3</v>
      </c>
      <c r="E166" s="1">
        <f t="shared" si="18"/>
        <v>1</v>
      </c>
      <c r="H166" s="1">
        <v>1</v>
      </c>
    </row>
    <row r="167" spans="1:34" ht="14.5" x14ac:dyDescent="0.35">
      <c r="A167" s="1" t="str">
        <f>'DISCOVERY-EVAL'!A50</f>
        <v>H7</v>
      </c>
      <c r="B167" s="1" t="s">
        <v>717</v>
      </c>
      <c r="C167" t="str">
        <f>'DISCOVERY-EVAL'!B50</f>
        <v>STM32H747I-DISCO (AT2)</v>
      </c>
      <c r="D167" s="1">
        <f>'DISCOVERY-EVAL'!D50-Roaming!E167</f>
        <v>2</v>
      </c>
      <c r="E167" s="1">
        <f t="shared" si="18"/>
        <v>0</v>
      </c>
    </row>
    <row r="168" spans="1:34" ht="14.5" x14ac:dyDescent="0.35">
      <c r="A168" s="1" t="str">
        <f>'DISCOVERY-EVAL'!A51</f>
        <v>H7</v>
      </c>
      <c r="B168" s="1" t="s">
        <v>717</v>
      </c>
      <c r="C168" t="str">
        <f>'DISCOVERY-EVAL'!B51</f>
        <v>STM32H747I-DISCO (AT3)</v>
      </c>
      <c r="D168" s="1">
        <f>'DISCOVERY-EVAL'!D51-Roaming!E168</f>
        <v>4</v>
      </c>
      <c r="E168" s="1">
        <f t="shared" ref="E168" si="19">SUM(F168:AJ168)</f>
        <v>0</v>
      </c>
    </row>
    <row r="169" spans="1:34" ht="14.5" x14ac:dyDescent="0.35">
      <c r="A169" s="1" t="str">
        <f>'DISCOVERY-EVAL'!A52</f>
        <v>H7</v>
      </c>
      <c r="B169" s="1" t="s">
        <v>717</v>
      </c>
      <c r="C169" t="str">
        <f>'DISCOVERY-EVAL'!B52</f>
        <v>STM32H750B-DK</v>
      </c>
      <c r="D169" s="1">
        <f>'DISCOVERY-EVAL'!D52-Roaming!E169</f>
        <v>10</v>
      </c>
      <c r="E169" s="1">
        <f t="shared" si="18"/>
        <v>1</v>
      </c>
      <c r="H169" s="1">
        <v>1</v>
      </c>
    </row>
    <row r="170" spans="1:34" ht="14.5" x14ac:dyDescent="0.35">
      <c r="A170" s="1" t="str">
        <f>'DISCOVERY-EVAL'!A53</f>
        <v>H7</v>
      </c>
      <c r="B170" s="1" t="s">
        <v>717</v>
      </c>
      <c r="C170" t="str">
        <f>'DISCOVERY-EVAL'!B53</f>
        <v>STM32H7B3I-DK</v>
      </c>
      <c r="D170" s="1">
        <f>'DISCOVERY-EVAL'!D53-Roaming!E170</f>
        <v>9</v>
      </c>
      <c r="E170" s="1">
        <f t="shared" si="18"/>
        <v>0</v>
      </c>
    </row>
    <row r="171" spans="1:34" ht="14.5" x14ac:dyDescent="0.35">
      <c r="A171" s="1" t="str">
        <f>'DISCOVERY-EVAL'!A54</f>
        <v>H7</v>
      </c>
      <c r="B171" s="1" t="s">
        <v>717</v>
      </c>
      <c r="C171" t="str">
        <f>'DISCOVERY-EVAL'!B54</f>
        <v>STM32H7B3I-DK (AT4)</v>
      </c>
      <c r="D171" s="1">
        <f>'DISCOVERY-EVAL'!D54-Roaming!E171</f>
        <v>2</v>
      </c>
      <c r="E171" s="1">
        <f t="shared" ref="E171" si="20">SUM(F171:AJ171)</f>
        <v>0</v>
      </c>
    </row>
    <row r="172" spans="1:34" ht="14.5" x14ac:dyDescent="0.35">
      <c r="A172" s="1" t="str">
        <f>'DISCOVERY-EVAL'!A55</f>
        <v>H7</v>
      </c>
      <c r="B172" s="1" t="s">
        <v>717</v>
      </c>
      <c r="C172" t="str">
        <f>'DISCOVERY-EVAL'!B55</f>
        <v>STM32H7S78-DK (KT3)</v>
      </c>
      <c r="D172" s="1">
        <f>'DISCOVERY-EVAL'!D55-Roaming!E172</f>
        <v>5</v>
      </c>
      <c r="E172" s="1">
        <f t="shared" si="18"/>
        <v>0</v>
      </c>
    </row>
    <row r="173" spans="1:34" ht="14.5" x14ac:dyDescent="0.35">
      <c r="A173" s="1" t="str">
        <f>'DISCOVERY-EVAL'!A56</f>
        <v>H7</v>
      </c>
      <c r="B173" s="1" t="s">
        <v>717</v>
      </c>
      <c r="C173" t="str">
        <f>'DISCOVERY-EVAL'!B56</f>
        <v>STM32H7S78-DK (KT4)</v>
      </c>
      <c r="D173" s="1">
        <f>'DISCOVERY-EVAL'!D56-Roaming!E173</f>
        <v>1</v>
      </c>
      <c r="E173" s="1">
        <f t="shared" ref="E173" si="21">SUM(F173:AJ173)</f>
        <v>0</v>
      </c>
    </row>
    <row r="174" spans="1:34" ht="14.5" x14ac:dyDescent="0.35">
      <c r="A174" s="1" t="str">
        <f>'DISCOVERY-EVAL'!A57</f>
        <v>H7</v>
      </c>
      <c r="B174" s="1" t="s">
        <v>717</v>
      </c>
      <c r="C174" t="str">
        <f>'DISCOVERY-EVAL'!B57</f>
        <v>STM32H7S78-DK (KR1)</v>
      </c>
      <c r="D174" s="1">
        <f>'DISCOVERY-EVAL'!D57-Roaming!E174</f>
        <v>6</v>
      </c>
      <c r="E174" s="1">
        <f t="shared" ref="E174" si="22">SUM(F174:AJ174)</f>
        <v>0</v>
      </c>
      <c r="M174" s="1">
        <v>0</v>
      </c>
    </row>
    <row r="175" spans="1:34" ht="14.5" x14ac:dyDescent="0.35">
      <c r="A175" s="1" t="str">
        <f>'DISCOVERY-EVAL'!A58</f>
        <v>L0</v>
      </c>
      <c r="B175" s="1" t="s">
        <v>717</v>
      </c>
      <c r="C175" t="str">
        <f>'DISCOVERY-EVAL'!B58</f>
        <v>STM32L0538-DISCO</v>
      </c>
      <c r="D175" s="1">
        <f>'DISCOVERY-EVAL'!D58-Roaming!E175</f>
        <v>4</v>
      </c>
      <c r="E175" s="1">
        <f t="shared" si="18"/>
        <v>0</v>
      </c>
    </row>
    <row r="176" spans="1:34" ht="14.5" x14ac:dyDescent="0.35">
      <c r="A176" s="1" t="str">
        <f>'DISCOVERY-EVAL'!A59</f>
        <v>L1</v>
      </c>
      <c r="B176" s="1" t="s">
        <v>717</v>
      </c>
      <c r="C176" t="str">
        <f>'DISCOVERY-EVAL'!B59</f>
        <v>STM32L100C-DISCO</v>
      </c>
      <c r="D176" s="1">
        <f>'DISCOVERY-EVAL'!D59-Roaming!E176</f>
        <v>1</v>
      </c>
      <c r="E176" s="1">
        <f t="shared" si="18"/>
        <v>0</v>
      </c>
    </row>
    <row r="177" spans="1:25" ht="14.5" x14ac:dyDescent="0.35">
      <c r="A177" s="1" t="str">
        <f>'DISCOVERY-EVAL'!A60</f>
        <v>L1</v>
      </c>
      <c r="B177" s="1" t="s">
        <v>717</v>
      </c>
      <c r="C177" t="str">
        <f>'DISCOVERY-EVAL'!B60</f>
        <v>STM32L152C-DISCO</v>
      </c>
      <c r="D177" s="1">
        <f>'DISCOVERY-EVAL'!D60-Roaming!E177</f>
        <v>3</v>
      </c>
      <c r="E177" s="1">
        <f t="shared" si="18"/>
        <v>0</v>
      </c>
    </row>
    <row r="178" spans="1:25" ht="14.5" x14ac:dyDescent="0.35">
      <c r="A178" s="1" t="str">
        <f>'DISCOVERY-EVAL'!A61</f>
        <v>L1</v>
      </c>
      <c r="B178" s="1" t="s">
        <v>717</v>
      </c>
      <c r="C178" t="str">
        <f>'DISCOVERY-EVAL'!B61</f>
        <v>STM32L-DISCOVERY</v>
      </c>
      <c r="D178" s="1">
        <f>'DISCOVERY-EVAL'!D61-Roaming!E178</f>
        <v>3</v>
      </c>
      <c r="E178" s="1">
        <f t="shared" si="18"/>
        <v>0</v>
      </c>
    </row>
    <row r="179" spans="1:25" ht="14.5" x14ac:dyDescent="0.35">
      <c r="A179" s="1" t="str">
        <f>'DISCOVERY-EVAL'!A62</f>
        <v>L4</v>
      </c>
      <c r="B179" s="1" t="s">
        <v>717</v>
      </c>
      <c r="C179" t="str">
        <f>'DISCOVERY-EVAL'!B62</f>
        <v>STM32L476G-DISCO</v>
      </c>
      <c r="D179" s="1">
        <f>'DISCOVERY-EVAL'!D62-Roaming!E179</f>
        <v>7</v>
      </c>
      <c r="E179" s="1">
        <f t="shared" si="18"/>
        <v>0</v>
      </c>
    </row>
    <row r="180" spans="1:25" ht="14.5" x14ac:dyDescent="0.35">
      <c r="A180" s="1" t="str">
        <f>'DISCOVERY-EVAL'!A63</f>
        <v>L4</v>
      </c>
      <c r="B180" s="1" t="s">
        <v>717</v>
      </c>
      <c r="C180" t="str">
        <f>'DISCOVERY-EVAL'!B63</f>
        <v>STM32L496G-DISCO</v>
      </c>
      <c r="D180" s="1">
        <f>'DISCOVERY-EVAL'!D63-Roaming!E180</f>
        <v>9</v>
      </c>
      <c r="E180" s="1">
        <f t="shared" si="18"/>
        <v>1</v>
      </c>
      <c r="Y180" s="1">
        <v>1</v>
      </c>
    </row>
    <row r="181" spans="1:25" ht="14.5" x14ac:dyDescent="0.35">
      <c r="A181" s="1" t="str">
        <f>'DISCOVERY-EVAL'!A64</f>
        <v>L4</v>
      </c>
      <c r="B181" s="1" t="s">
        <v>717</v>
      </c>
      <c r="C181" t="str">
        <f>'DISCOVERY-EVAL'!B64</f>
        <v>STM32L4P5G-DK</v>
      </c>
      <c r="D181" s="1">
        <f>'DISCOVERY-EVAL'!D64-Roaming!E181</f>
        <v>4</v>
      </c>
      <c r="E181" s="1">
        <f t="shared" si="18"/>
        <v>0</v>
      </c>
    </row>
    <row r="182" spans="1:25" ht="14.5" x14ac:dyDescent="0.35">
      <c r="A182" s="1" t="str">
        <f>'DISCOVERY-EVAL'!A65</f>
        <v>L4</v>
      </c>
      <c r="B182" s="1" t="s">
        <v>717</v>
      </c>
      <c r="C182" t="str">
        <f>'DISCOVERY-EVAL'!B65</f>
        <v>STM32L4R9I-DISCO</v>
      </c>
      <c r="D182" s="1">
        <f>'DISCOVERY-EVAL'!D65-Roaming!E182</f>
        <v>7</v>
      </c>
      <c r="E182" s="1">
        <f t="shared" si="18"/>
        <v>0</v>
      </c>
    </row>
    <row r="183" spans="1:25" ht="14.5" x14ac:dyDescent="0.35">
      <c r="A183" s="1" t="str">
        <f>'DISCOVERY-EVAL'!A66</f>
        <v>L5</v>
      </c>
      <c r="B183" s="1" t="s">
        <v>717</v>
      </c>
      <c r="C183" t="str">
        <f>'DISCOVERY-EVAL'!B66</f>
        <v>STM32L562E-DK</v>
      </c>
      <c r="D183" s="1">
        <f>'DISCOVERY-EVAL'!D66-Roaming!E183</f>
        <v>14</v>
      </c>
      <c r="E183" s="1">
        <f t="shared" si="18"/>
        <v>0</v>
      </c>
    </row>
    <row r="184" spans="1:25" ht="14.5" x14ac:dyDescent="0.35">
      <c r="A184" s="1" t="str">
        <f>'DISCOVERY-EVAL'!A67</f>
        <v>N6</v>
      </c>
      <c r="B184" s="1" t="s">
        <v>717</v>
      </c>
      <c r="C184" t="str">
        <f>'DISCOVERY-EVAL'!B67</f>
        <v>STM32N6570-DK (CR2) Cut 1.1</v>
      </c>
      <c r="D184" s="1">
        <f>'DISCOVERY-EVAL'!D67-Roaming!E184</f>
        <v>2</v>
      </c>
      <c r="E184" s="1">
        <f t="shared" si="18"/>
        <v>0</v>
      </c>
    </row>
    <row r="185" spans="1:25" ht="14.5" x14ac:dyDescent="0.35">
      <c r="A185" s="1" t="str">
        <f>'DISCOVERY-EVAL'!A68</f>
        <v>N6</v>
      </c>
      <c r="B185" s="1" t="s">
        <v>717</v>
      </c>
      <c r="C185" t="str">
        <f>'DISCOVERY-EVAL'!B68</f>
        <v>STM32N6570-DK (CR4) Cut 1.1</v>
      </c>
      <c r="D185" s="1">
        <f>'DISCOVERY-EVAL'!D68-Roaming!E185</f>
        <v>1</v>
      </c>
      <c r="E185" s="1">
        <f t="shared" ref="E185" si="23">SUM(F185:AJ185)</f>
        <v>0</v>
      </c>
    </row>
    <row r="186" spans="1:25" ht="14.5" x14ac:dyDescent="0.35">
      <c r="A186" s="1" t="str">
        <f>'DISCOVERY-EVAL'!A69</f>
        <v>N6</v>
      </c>
      <c r="B186" s="1" t="s">
        <v>717</v>
      </c>
      <c r="C186" t="str">
        <f>'DISCOVERY-EVAL'!B69</f>
        <v>STM32N6570-DK (CR5) Cut 2.0</v>
      </c>
      <c r="D186" s="1">
        <f>'DISCOVERY-EVAL'!D69-Roaming!E186</f>
        <v>2</v>
      </c>
      <c r="E186" s="1">
        <f t="shared" ref="E186:E187" si="24">SUM(F186:AJ186)</f>
        <v>0</v>
      </c>
    </row>
    <row r="187" spans="1:25" ht="14.5" x14ac:dyDescent="0.35">
      <c r="A187" s="1" t="str">
        <f>'DISCOVERY-EVAL'!A70</f>
        <v>N6</v>
      </c>
      <c r="B187" s="1" t="s">
        <v>717</v>
      </c>
      <c r="C187" t="str">
        <f>'DISCOVERY-EVAL'!B70</f>
        <v>STM32N6570-DK (CR1) Cut 2.0</v>
      </c>
      <c r="D187" s="1">
        <f>'DISCOVERY-EVAL'!D70-Roaming!E187</f>
        <v>2</v>
      </c>
      <c r="E187" s="1">
        <f t="shared" si="24"/>
        <v>1</v>
      </c>
      <c r="M187" s="1">
        <v>1</v>
      </c>
    </row>
    <row r="188" spans="1:25" ht="14.5" x14ac:dyDescent="0.35">
      <c r="A188" s="1" t="str">
        <f>'DISCOVERY-EVAL'!A71</f>
        <v>U0</v>
      </c>
      <c r="B188" s="1" t="s">
        <v>717</v>
      </c>
      <c r="C188" t="str">
        <f>'DISCOVERY-EVAL'!B71</f>
        <v>STM32U083C-DK (KS2)</v>
      </c>
      <c r="D188" s="1">
        <f>'DISCOVERY-EVAL'!D71-Roaming!E188</f>
        <v>4</v>
      </c>
      <c r="E188" s="1">
        <f t="shared" si="18"/>
        <v>1</v>
      </c>
      <c r="U188" s="1">
        <v>1</v>
      </c>
    </row>
    <row r="189" spans="1:25" ht="14.5" x14ac:dyDescent="0.35">
      <c r="A189" s="1" t="str">
        <f>'DISCOVERY-EVAL'!A72</f>
        <v>U0</v>
      </c>
      <c r="B189" s="1" t="s">
        <v>717</v>
      </c>
      <c r="C189" t="str">
        <f>'DISCOVERY-EVAL'!B72</f>
        <v>STM32U083C-DK (KS1)</v>
      </c>
      <c r="D189" s="1">
        <f>'DISCOVERY-EVAL'!D72-Roaming!E189</f>
        <v>7</v>
      </c>
      <c r="E189" s="1">
        <f t="shared" ref="E189" si="25">SUM(F189:AJ189)</f>
        <v>0</v>
      </c>
    </row>
    <row r="190" spans="1:25" ht="14.5" x14ac:dyDescent="0.35">
      <c r="A190" s="1" t="str">
        <f>'DISCOVERY-EVAL'!A73</f>
        <v>U5</v>
      </c>
      <c r="B190" s="1" t="s">
        <v>717</v>
      </c>
      <c r="C190" t="str">
        <f>'DISCOVERY-EVAL'!B73</f>
        <v>STM32U599J-DK (AT4)</v>
      </c>
      <c r="D190" s="1">
        <f>'DISCOVERY-EVAL'!D73-Roaming!E190</f>
        <v>1</v>
      </c>
      <c r="E190" s="1">
        <f t="shared" si="18"/>
        <v>0</v>
      </c>
    </row>
    <row r="191" spans="1:25" ht="14.5" x14ac:dyDescent="0.35">
      <c r="A191" s="1" t="str">
        <f>'DISCOVERY-EVAL'!A74</f>
        <v>U5</v>
      </c>
      <c r="B191" s="1" t="s">
        <v>717</v>
      </c>
      <c r="C191" t="str">
        <f>'DISCOVERY-EVAL'!B74</f>
        <v>STM32U599J-DK (AT7)</v>
      </c>
      <c r="D191" s="1">
        <f>'DISCOVERY-EVAL'!D74-Roaming!E191</f>
        <v>1</v>
      </c>
      <c r="E191" s="1">
        <f t="shared" si="18"/>
        <v>0</v>
      </c>
    </row>
    <row r="192" spans="1:25" ht="14.5" x14ac:dyDescent="0.35">
      <c r="A192" s="1" t="str">
        <f>'DISCOVERY-EVAL'!A75</f>
        <v>U5</v>
      </c>
      <c r="B192" s="1" t="s">
        <v>717</v>
      </c>
      <c r="C192" t="str">
        <f>'DISCOVERY-EVAL'!B75</f>
        <v>STM32U599J-DK (AT8)</v>
      </c>
      <c r="D192" s="1">
        <f>'DISCOVERY-EVAL'!D75-Roaming!E192</f>
        <v>5</v>
      </c>
      <c r="E192" s="1">
        <f t="shared" si="18"/>
        <v>0</v>
      </c>
    </row>
    <row r="193" spans="1:36" ht="14.5" x14ac:dyDescent="0.35">
      <c r="A193" s="1" t="str">
        <f>'DISCOVERY-EVAL'!A76</f>
        <v>U5</v>
      </c>
      <c r="B193" s="1" t="s">
        <v>717</v>
      </c>
      <c r="C193" t="str">
        <f>'DISCOVERY-EVAL'!B76</f>
        <v>STM32U5A9J-DK (AT1)</v>
      </c>
      <c r="D193" s="1">
        <f>'DISCOVERY-EVAL'!D76-Roaming!E193</f>
        <v>8</v>
      </c>
      <c r="E193" s="1">
        <f t="shared" si="18"/>
        <v>1</v>
      </c>
      <c r="S193" s="27">
        <v>1</v>
      </c>
    </row>
    <row r="194" spans="1:36" ht="14.5" x14ac:dyDescent="0.35">
      <c r="A194" s="1" t="str">
        <f>'DISCOVERY-EVAL'!A77</f>
        <v>U5</v>
      </c>
      <c r="B194" s="1" t="s">
        <v>717</v>
      </c>
      <c r="C194" t="str">
        <f>'DISCOVERY-EVAL'!B77</f>
        <v>STM32U5A9J-DK (AT2)</v>
      </c>
      <c r="D194" s="1">
        <f>'DISCOVERY-EVAL'!D77-Roaming!E194</f>
        <v>6</v>
      </c>
      <c r="E194" s="1">
        <f t="shared" si="18"/>
        <v>0</v>
      </c>
    </row>
    <row r="195" spans="1:36" ht="14.5" x14ac:dyDescent="0.35">
      <c r="A195" s="1" t="str">
        <f>'DISCOVERY-EVAL'!A78</f>
        <v>U5</v>
      </c>
      <c r="B195" s="1" t="s">
        <v>717</v>
      </c>
      <c r="C195" t="str">
        <f>'DISCOVERY-EVAL'!B78</f>
        <v>STM32U5G9J-DK1 (AT1)</v>
      </c>
      <c r="D195" s="1">
        <f>'DISCOVERY-EVAL'!D78-Roaming!E195</f>
        <v>4</v>
      </c>
      <c r="E195" s="1">
        <f t="shared" ref="E195" si="26">SUM(F195:AJ195)</f>
        <v>0</v>
      </c>
    </row>
    <row r="196" spans="1:36" ht="14.5" x14ac:dyDescent="0.35">
      <c r="A196" s="1" t="str">
        <f>'DISCOVERY-EVAL'!A79</f>
        <v>U5</v>
      </c>
      <c r="B196" s="1" t="s">
        <v>717</v>
      </c>
      <c r="C196" t="str">
        <f>'DISCOVERY-EVAL'!B79</f>
        <v>STM32U5G9J-DK2 (AR1)</v>
      </c>
      <c r="D196" s="1">
        <f>'DISCOVERY-EVAL'!D79-Roaming!E196</f>
        <v>6</v>
      </c>
      <c r="E196" s="1">
        <f t="shared" ref="E196:E197" si="27">SUM(F196:AJ196)</f>
        <v>0</v>
      </c>
    </row>
    <row r="197" spans="1:36" ht="14.5" x14ac:dyDescent="0.35">
      <c r="A197" s="1" t="str">
        <f>'DISCOVERY-EVAL'!A80</f>
        <v>U5</v>
      </c>
      <c r="B197" s="1" t="s">
        <v>717</v>
      </c>
      <c r="C197" t="str">
        <f>'DISCOVERY-EVAL'!B80</f>
        <v>STM32U5G9J-DK2 (AR2)</v>
      </c>
      <c r="D197" s="1">
        <f>'DISCOVERY-EVAL'!D80-Roaming!E197</f>
        <v>7</v>
      </c>
      <c r="E197" s="1">
        <f t="shared" si="27"/>
        <v>1</v>
      </c>
      <c r="M197" s="1">
        <v>1</v>
      </c>
    </row>
    <row r="198" spans="1:36" ht="14.5" x14ac:dyDescent="0.35">
      <c r="A198" s="1" t="str">
        <f>'DISCOVERY-EVAL'!A81</f>
        <v>WB</v>
      </c>
      <c r="B198" s="1" t="s">
        <v>717</v>
      </c>
      <c r="C198" t="str">
        <f>'DISCOVERY-EVAL'!B81</f>
        <v>STM32WB5MM-DK</v>
      </c>
      <c r="D198" s="1">
        <f>'DISCOVERY-EVAL'!D81-Roaming!E198</f>
        <v>6</v>
      </c>
      <c r="E198" s="1">
        <f t="shared" ref="E198:E204" si="28">SUM(F198:AJ198)</f>
        <v>4</v>
      </c>
      <c r="K198" s="1">
        <v>1</v>
      </c>
      <c r="AF198" s="1">
        <v>2</v>
      </c>
      <c r="AI198" s="1">
        <v>1</v>
      </c>
    </row>
    <row r="199" spans="1:36" ht="14.5" x14ac:dyDescent="0.35">
      <c r="A199" s="1" t="str">
        <f>'DISCOVERY-EVAL'!A82</f>
        <v>WBA</v>
      </c>
      <c r="B199" s="1" t="s">
        <v>717</v>
      </c>
      <c r="C199" t="str">
        <f>'DISCOVERY-EVAL'!B82</f>
        <v>STM32WBA55G-DK1 (DR1)</v>
      </c>
      <c r="D199" s="1">
        <f>'DISCOVERY-EVAL'!D82-Roaming!E199</f>
        <v>4</v>
      </c>
      <c r="E199" s="1">
        <f t="shared" ref="E199" si="29">SUM(F199:AJ199)</f>
        <v>2</v>
      </c>
      <c r="U199" s="1">
        <v>2</v>
      </c>
    </row>
    <row r="200" spans="1:36" ht="14.5" x14ac:dyDescent="0.35">
      <c r="A200" s="1" t="str">
        <f>'DISCOVERY-EVAL'!A83</f>
        <v>WBA</v>
      </c>
      <c r="B200" s="1" t="s">
        <v>717</v>
      </c>
      <c r="C200" t="str">
        <f>'DISCOVERY-EVAL'!B83</f>
        <v>STM32WBA65I-DK1 (DR2)</v>
      </c>
      <c r="D200" s="1">
        <f>'DISCOVERY-EVAL'!D83-Roaming!E200</f>
        <v>3</v>
      </c>
      <c r="E200" s="1">
        <f t="shared" ref="E200" si="30">SUM(F200:AJ200)</f>
        <v>0</v>
      </c>
    </row>
    <row r="201" spans="1:36" ht="14.5" x14ac:dyDescent="0.35">
      <c r="A201" s="1" t="str">
        <f>'DISCOVERY-EVAL'!A84</f>
        <v>MPU</v>
      </c>
      <c r="B201" s="1" t="s">
        <v>717</v>
      </c>
      <c r="C201" t="str">
        <f>'DISCOVERY-EVAL'!B84</f>
        <v>STM32MP135F-DK</v>
      </c>
      <c r="D201" s="1">
        <f>'DISCOVERY-EVAL'!D84-Roaming!E201</f>
        <v>8</v>
      </c>
      <c r="E201" s="1">
        <f t="shared" si="28"/>
        <v>0</v>
      </c>
    </row>
    <row r="202" spans="1:36" ht="14.5" x14ac:dyDescent="0.35">
      <c r="A202" s="1" t="str">
        <f>'DISCOVERY-EVAL'!A85</f>
        <v>MPU</v>
      </c>
      <c r="B202" s="1" t="s">
        <v>717</v>
      </c>
      <c r="C202" t="str">
        <f>'DISCOVERY-EVAL'!B85</f>
        <v>STM32MP157A-DK1</v>
      </c>
      <c r="D202" s="1">
        <f>'DISCOVERY-EVAL'!D85-Roaming!E202</f>
        <v>2</v>
      </c>
      <c r="E202" s="1">
        <f t="shared" si="28"/>
        <v>0</v>
      </c>
    </row>
    <row r="203" spans="1:36" ht="14.5" x14ac:dyDescent="0.35">
      <c r="A203" s="1" t="str">
        <f>'DISCOVERY-EVAL'!A86</f>
        <v>MPU</v>
      </c>
      <c r="B203" s="1" t="s">
        <v>717</v>
      </c>
      <c r="C203" t="str">
        <f>'DISCOVERY-EVAL'!B86</f>
        <v>STM32MP157C-DK2</v>
      </c>
      <c r="D203" s="1">
        <f>'DISCOVERY-EVAL'!D86-Roaming!E203</f>
        <v>5</v>
      </c>
      <c r="E203" s="1">
        <f t="shared" si="28"/>
        <v>1</v>
      </c>
      <c r="AF203" s="1">
        <v>1</v>
      </c>
    </row>
    <row r="204" spans="1:36" ht="14.5" x14ac:dyDescent="0.35">
      <c r="A204" s="1" t="str">
        <f>'DISCOVERY-EVAL'!A87</f>
        <v>MPU</v>
      </c>
      <c r="B204" s="1" t="s">
        <v>717</v>
      </c>
      <c r="C204" t="str">
        <f>'DISCOVERY-EVAL'!B87</f>
        <v>STM32MP157D-DK1</v>
      </c>
      <c r="D204" s="1">
        <f>'DISCOVERY-EVAL'!D87-Roaming!E204</f>
        <v>2</v>
      </c>
      <c r="E204" s="1">
        <f t="shared" si="28"/>
        <v>0</v>
      </c>
    </row>
    <row r="205" spans="1:36" ht="14.5" x14ac:dyDescent="0.35">
      <c r="A205" s="1" t="str">
        <f>'DISCOVERY-EVAL'!A88</f>
        <v>MPU</v>
      </c>
      <c r="B205" s="1" t="s">
        <v>717</v>
      </c>
      <c r="C205" t="str">
        <f>'DISCOVERY-EVAL'!B88</f>
        <v>STM32MP157F-DK2</v>
      </c>
      <c r="D205" s="1">
        <f>'DISCOVERY-EVAL'!D88-Roaming!E205</f>
        <v>2</v>
      </c>
      <c r="E205" s="1">
        <f t="shared" ref="E205:E206" si="31">SUM(F205:AJ205)</f>
        <v>0</v>
      </c>
      <c r="S205" s="1"/>
    </row>
    <row r="206" spans="1:36" ht="14.5" x14ac:dyDescent="0.35">
      <c r="A206" s="1" t="str">
        <f>'DISCOVERY-EVAL'!A89</f>
        <v>MPU</v>
      </c>
      <c r="B206" s="1" t="s">
        <v>717</v>
      </c>
      <c r="C206" t="str">
        <f>'DISCOVERY-EVAL'!B89</f>
        <v>STM32MP257F-DK ($AR1)</v>
      </c>
      <c r="D206" s="1">
        <f>'DISCOVERY-EVAL'!D89-Roaming!E206</f>
        <v>2</v>
      </c>
      <c r="E206" s="1">
        <f t="shared" si="31"/>
        <v>0</v>
      </c>
      <c r="S206" s="1"/>
    </row>
    <row r="207" spans="1:36" s="24" customFormat="1" ht="14.5" x14ac:dyDescent="0.35">
      <c r="A207" s="26"/>
      <c r="B207" s="26"/>
      <c r="C207" s="25"/>
      <c r="D207" s="31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</row>
    <row r="208" spans="1:36" ht="14.5" x14ac:dyDescent="0.35">
      <c r="A208" s="1" t="str">
        <f>'DISCOVERY-EVAL'!H4</f>
        <v>F0</v>
      </c>
      <c r="B208" s="1" t="s">
        <v>718</v>
      </c>
      <c r="C208" t="str">
        <f>'DISCOVERY-EVAL'!I4</f>
        <v>STM320518-EVAL</v>
      </c>
      <c r="D208" s="1">
        <f>'DISCOVERY-EVAL'!K4-Roaming!E208</f>
        <v>1</v>
      </c>
      <c r="E208" s="1">
        <f t="shared" ref="E208:E254" si="32">SUM(F208:AJ208)</f>
        <v>0</v>
      </c>
    </row>
    <row r="209" spans="1:5" ht="14.5" x14ac:dyDescent="0.35">
      <c r="A209" s="1" t="str">
        <f>'DISCOVERY-EVAL'!H5</f>
        <v>F0</v>
      </c>
      <c r="B209" s="1" t="s">
        <v>718</v>
      </c>
      <c r="C209" t="str">
        <f>'DISCOVERY-EVAL'!I5</f>
        <v>STM32072B-EVAL</v>
      </c>
      <c r="D209" s="1">
        <f>'DISCOVERY-EVAL'!K5-Roaming!E209</f>
        <v>1</v>
      </c>
      <c r="E209" s="1">
        <f t="shared" si="32"/>
        <v>0</v>
      </c>
    </row>
    <row r="210" spans="1:5" ht="14.5" x14ac:dyDescent="0.35">
      <c r="A210" s="1" t="str">
        <f>'DISCOVERY-EVAL'!H6</f>
        <v>F0</v>
      </c>
      <c r="B210" s="1" t="s">
        <v>718</v>
      </c>
      <c r="C210" t="str">
        <f>'DISCOVERY-EVAL'!I6</f>
        <v>STM32091C-EVAL</v>
      </c>
      <c r="D210" s="1">
        <f>'DISCOVERY-EVAL'!K6-Roaming!E210</f>
        <v>1</v>
      </c>
      <c r="E210" s="1">
        <f t="shared" si="32"/>
        <v>0</v>
      </c>
    </row>
    <row r="211" spans="1:5" ht="14.5" x14ac:dyDescent="0.35">
      <c r="A211" s="1" t="str">
        <f>'DISCOVERY-EVAL'!H7</f>
        <v>F1</v>
      </c>
      <c r="B211" s="1" t="s">
        <v>718</v>
      </c>
      <c r="C211" t="str">
        <f>'DISCOVERY-EVAL'!I7</f>
        <v>STM3210C-EVAL</v>
      </c>
      <c r="D211" s="1">
        <f>'DISCOVERY-EVAL'!K7-Roaming!E211</f>
        <v>3</v>
      </c>
      <c r="E211" s="1">
        <f t="shared" si="32"/>
        <v>0</v>
      </c>
    </row>
    <row r="212" spans="1:5" ht="14.5" x14ac:dyDescent="0.35">
      <c r="A212" s="1" t="str">
        <f>'DISCOVERY-EVAL'!H8</f>
        <v>F1</v>
      </c>
      <c r="B212" s="1" t="s">
        <v>718</v>
      </c>
      <c r="C212" t="str">
        <f>'DISCOVERY-EVAL'!I8</f>
        <v>STM3210E-EVAL</v>
      </c>
      <c r="D212" s="1">
        <f>'DISCOVERY-EVAL'!K8-Roaming!E212</f>
        <v>3</v>
      </c>
      <c r="E212" s="1">
        <f t="shared" si="32"/>
        <v>0</v>
      </c>
    </row>
    <row r="213" spans="1:5" ht="14.5" x14ac:dyDescent="0.35">
      <c r="A213" s="1" t="str">
        <f>'DISCOVERY-EVAL'!H9</f>
        <v>F2</v>
      </c>
      <c r="B213" s="1" t="s">
        <v>718</v>
      </c>
      <c r="C213" t="str">
        <f>'DISCOVERY-EVAL'!I9</f>
        <v>STM3220G-EVAL</v>
      </c>
      <c r="D213" s="1">
        <f>'DISCOVERY-EVAL'!K9-Roaming!E213</f>
        <v>1</v>
      </c>
      <c r="E213" s="1">
        <f t="shared" si="32"/>
        <v>0</v>
      </c>
    </row>
    <row r="214" spans="1:5" ht="14.5" x14ac:dyDescent="0.35">
      <c r="A214" s="1" t="str">
        <f>'DISCOVERY-EVAL'!H10</f>
        <v>F2</v>
      </c>
      <c r="B214" s="1" t="s">
        <v>718</v>
      </c>
      <c r="C214" t="str">
        <f>'DISCOVERY-EVAL'!I10</f>
        <v>STM3221G-EVAL</v>
      </c>
      <c r="D214" s="1">
        <f>'DISCOVERY-EVAL'!K10-Roaming!E214</f>
        <v>1</v>
      </c>
      <c r="E214" s="1">
        <f t="shared" si="32"/>
        <v>0</v>
      </c>
    </row>
    <row r="215" spans="1:5" ht="14.5" x14ac:dyDescent="0.35">
      <c r="A215" s="1" t="str">
        <f>'DISCOVERY-EVAL'!H11</f>
        <v>F3</v>
      </c>
      <c r="B215" s="1" t="s">
        <v>718</v>
      </c>
      <c r="C215" t="str">
        <f>'DISCOVERY-EVAL'!I11</f>
        <v>STM32303C-EVAL</v>
      </c>
      <c r="D215" s="1">
        <f>'DISCOVERY-EVAL'!K11-Roaming!E215</f>
        <v>1</v>
      </c>
      <c r="E215" s="1">
        <f t="shared" si="32"/>
        <v>0</v>
      </c>
    </row>
    <row r="216" spans="1:5" ht="14.5" x14ac:dyDescent="0.35">
      <c r="A216" s="1" t="str">
        <f>'DISCOVERY-EVAL'!H12</f>
        <v>F3</v>
      </c>
      <c r="B216" s="1" t="s">
        <v>718</v>
      </c>
      <c r="C216" t="str">
        <f>'DISCOVERY-EVAL'!I12</f>
        <v>STM32303E-EVAL</v>
      </c>
      <c r="D216" s="1">
        <f>'DISCOVERY-EVAL'!K12-Roaming!E216</f>
        <v>1</v>
      </c>
      <c r="E216" s="1">
        <f t="shared" si="32"/>
        <v>0</v>
      </c>
    </row>
    <row r="217" spans="1:5" ht="14.5" x14ac:dyDescent="0.35">
      <c r="A217" s="1" t="str">
        <f>'DISCOVERY-EVAL'!H13</f>
        <v>F3</v>
      </c>
      <c r="B217" s="1" t="s">
        <v>718</v>
      </c>
      <c r="C217" t="str">
        <f>'DISCOVERY-EVAL'!I13</f>
        <v>STM32373C-EVAL</v>
      </c>
      <c r="D217" s="1">
        <f>'DISCOVERY-EVAL'!K13-Roaming!E217</f>
        <v>2</v>
      </c>
      <c r="E217" s="1">
        <f t="shared" si="32"/>
        <v>0</v>
      </c>
    </row>
    <row r="218" spans="1:5" ht="14.5" x14ac:dyDescent="0.35">
      <c r="A218" s="1" t="str">
        <f>'DISCOVERY-EVAL'!H14</f>
        <v>F4</v>
      </c>
      <c r="B218" s="1" t="s">
        <v>718</v>
      </c>
      <c r="C218" t="str">
        <f>'DISCOVERY-EVAL'!I14</f>
        <v>STM3240G-EVAL</v>
      </c>
      <c r="D218" s="1">
        <f>'DISCOVERY-EVAL'!K14-Roaming!E218</f>
        <v>1</v>
      </c>
      <c r="E218" s="1">
        <f t="shared" si="32"/>
        <v>0</v>
      </c>
    </row>
    <row r="219" spans="1:5" ht="14.5" x14ac:dyDescent="0.35">
      <c r="A219" s="1" t="str">
        <f>'DISCOVERY-EVAL'!H15</f>
        <v>F4</v>
      </c>
      <c r="B219" s="1" t="s">
        <v>718</v>
      </c>
      <c r="C219" t="str">
        <f>'DISCOVERY-EVAL'!I15</f>
        <v>STM3241G-EVAL</v>
      </c>
      <c r="D219" s="1">
        <f>'DISCOVERY-EVAL'!K15-Roaming!E219</f>
        <v>1</v>
      </c>
      <c r="E219" s="1">
        <f t="shared" si="32"/>
        <v>0</v>
      </c>
    </row>
    <row r="220" spans="1:5" ht="14.5" x14ac:dyDescent="0.35">
      <c r="A220" s="1" t="str">
        <f>'DISCOVERY-EVAL'!H16</f>
        <v>F4</v>
      </c>
      <c r="B220" s="1" t="s">
        <v>718</v>
      </c>
      <c r="C220" t="str">
        <f>'DISCOVERY-EVAL'!I16</f>
        <v>STM32429I-EVAL1</v>
      </c>
      <c r="D220" s="1">
        <f>'DISCOVERY-EVAL'!K16-Roaming!E220</f>
        <v>3</v>
      </c>
      <c r="E220" s="1">
        <f t="shared" si="32"/>
        <v>0</v>
      </c>
    </row>
    <row r="221" spans="1:5" ht="14.5" x14ac:dyDescent="0.35">
      <c r="A221" s="1" t="str">
        <f>'DISCOVERY-EVAL'!H17</f>
        <v>F4</v>
      </c>
      <c r="B221" s="1" t="s">
        <v>718</v>
      </c>
      <c r="C221" t="str">
        <f>'DISCOVERY-EVAL'!I17</f>
        <v>STM32437I-EVAL</v>
      </c>
      <c r="D221" s="1">
        <f>'DISCOVERY-EVAL'!K17-Roaming!E221</f>
        <v>1</v>
      </c>
      <c r="E221" s="1">
        <f t="shared" si="32"/>
        <v>0</v>
      </c>
    </row>
    <row r="222" spans="1:5" ht="14.5" x14ac:dyDescent="0.35">
      <c r="A222" s="1" t="str">
        <f>'DISCOVERY-EVAL'!H18</f>
        <v>F4</v>
      </c>
      <c r="B222" s="1" t="s">
        <v>718</v>
      </c>
      <c r="C222" t="str">
        <f>'DISCOVERY-EVAL'!I18</f>
        <v>STM32439I-EVAL2</v>
      </c>
      <c r="D222" s="1">
        <f>'DISCOVERY-EVAL'!K18-Roaming!E222</f>
        <v>4</v>
      </c>
      <c r="E222" s="1">
        <f t="shared" si="32"/>
        <v>0</v>
      </c>
    </row>
    <row r="223" spans="1:5" ht="14.5" x14ac:dyDescent="0.35">
      <c r="A223" s="1" t="str">
        <f>'DISCOVERY-EVAL'!H19</f>
        <v>F4</v>
      </c>
      <c r="B223" s="1" t="s">
        <v>718</v>
      </c>
      <c r="C223" t="str">
        <f>'DISCOVERY-EVAL'!I19</f>
        <v>STM32446E-EVAL</v>
      </c>
      <c r="D223" s="1">
        <f>'DISCOVERY-EVAL'!K19-Roaming!E223</f>
        <v>1</v>
      </c>
      <c r="E223" s="1">
        <f t="shared" si="32"/>
        <v>0</v>
      </c>
    </row>
    <row r="224" spans="1:5" ht="14.5" x14ac:dyDescent="0.35">
      <c r="A224" s="1" t="str">
        <f>'DISCOVERY-EVAL'!H20</f>
        <v>F4</v>
      </c>
      <c r="B224" s="1" t="s">
        <v>718</v>
      </c>
      <c r="C224" t="str">
        <f>'DISCOVERY-EVAL'!I20</f>
        <v>STM32469I-EVAL</v>
      </c>
      <c r="D224" s="1">
        <f>'DISCOVERY-EVAL'!K20-Roaming!E224</f>
        <v>4</v>
      </c>
      <c r="E224" s="1">
        <f t="shared" si="32"/>
        <v>0</v>
      </c>
    </row>
    <row r="225" spans="1:5" ht="14.5" x14ac:dyDescent="0.35">
      <c r="A225" s="1" t="str">
        <f>'DISCOVERY-EVAL'!H21</f>
        <v>F4</v>
      </c>
      <c r="B225" s="1" t="s">
        <v>718</v>
      </c>
      <c r="C225" t="str">
        <f>'DISCOVERY-EVAL'!I21</f>
        <v>STM32479I-EVAL</v>
      </c>
      <c r="D225" s="1">
        <f>'DISCOVERY-EVAL'!K21-Roaming!E225</f>
        <v>3</v>
      </c>
      <c r="E225" s="1">
        <f t="shared" si="32"/>
        <v>0</v>
      </c>
    </row>
    <row r="226" spans="1:5" ht="14.5" x14ac:dyDescent="0.35">
      <c r="A226" s="1" t="str">
        <f>'DISCOVERY-EVAL'!H22</f>
        <v>F7</v>
      </c>
      <c r="B226" s="1" t="s">
        <v>718</v>
      </c>
      <c r="C226" t="str">
        <f>'DISCOVERY-EVAL'!I22</f>
        <v>STM32746G-EVAL2</v>
      </c>
      <c r="D226" s="1">
        <f>'DISCOVERY-EVAL'!K22-Roaming!E226</f>
        <v>5</v>
      </c>
      <c r="E226" s="1">
        <f t="shared" si="32"/>
        <v>0</v>
      </c>
    </row>
    <row r="227" spans="1:5" ht="14.5" x14ac:dyDescent="0.35">
      <c r="A227" s="1" t="str">
        <f>'DISCOVERY-EVAL'!H23</f>
        <v>F7</v>
      </c>
      <c r="B227" s="1" t="s">
        <v>718</v>
      </c>
      <c r="C227" t="str">
        <f>'DISCOVERY-EVAL'!I23</f>
        <v>STM32756G-EVAL2</v>
      </c>
      <c r="D227" s="1">
        <f>'DISCOVERY-EVAL'!K23-Roaming!E227</f>
        <v>2</v>
      </c>
      <c r="E227" s="1">
        <f t="shared" si="32"/>
        <v>0</v>
      </c>
    </row>
    <row r="228" spans="1:5" ht="14.5" x14ac:dyDescent="0.35">
      <c r="A228" s="1" t="str">
        <f>'DISCOVERY-EVAL'!H24</f>
        <v>F7</v>
      </c>
      <c r="B228" s="1" t="s">
        <v>718</v>
      </c>
      <c r="C228" t="str">
        <f>'DISCOVERY-EVAL'!I24</f>
        <v>STM32F769I-EVAL</v>
      </c>
      <c r="D228" s="1">
        <f>'DISCOVERY-EVAL'!K24-Roaming!E228</f>
        <v>3</v>
      </c>
      <c r="E228" s="1">
        <f t="shared" si="32"/>
        <v>0</v>
      </c>
    </row>
    <row r="229" spans="1:5" ht="14.5" x14ac:dyDescent="0.35">
      <c r="A229" s="1" t="str">
        <f>'DISCOVERY-EVAL'!H25</f>
        <v>F7</v>
      </c>
      <c r="B229" s="1" t="s">
        <v>718</v>
      </c>
      <c r="C229" t="str">
        <f>'DISCOVERY-EVAL'!I25</f>
        <v>STM32F779I-EVAL</v>
      </c>
      <c r="D229" s="1">
        <f>'DISCOVERY-EVAL'!K25-Roaming!E229</f>
        <v>1</v>
      </c>
      <c r="E229" s="1">
        <f t="shared" si="32"/>
        <v>0</v>
      </c>
    </row>
    <row r="230" spans="1:5" ht="14.5" x14ac:dyDescent="0.35">
      <c r="A230" s="1" t="str">
        <f>'DISCOVERY-EVAL'!H26</f>
        <v>G0</v>
      </c>
      <c r="B230" s="1" t="s">
        <v>718</v>
      </c>
      <c r="C230" t="str">
        <f>'DISCOVERY-EVAL'!I26</f>
        <v>STM32G081B-EVAL</v>
      </c>
      <c r="D230" s="1">
        <f>'DISCOVERY-EVAL'!K26-Roaming!E230</f>
        <v>5</v>
      </c>
      <c r="E230" s="1">
        <f t="shared" si="32"/>
        <v>0</v>
      </c>
    </row>
    <row r="231" spans="1:5" ht="14.5" x14ac:dyDescent="0.35">
      <c r="A231" s="1" t="str">
        <f>'DISCOVERY-EVAL'!H27</f>
        <v>G0</v>
      </c>
      <c r="B231" s="1" t="s">
        <v>718</v>
      </c>
      <c r="C231" t="str">
        <f>'DISCOVERY-EVAL'!I27</f>
        <v>STM32G0C1E-EV</v>
      </c>
      <c r="D231" s="1">
        <f>'DISCOVERY-EVAL'!K27-Roaming!E231</f>
        <v>2</v>
      </c>
      <c r="E231" s="1">
        <f t="shared" si="32"/>
        <v>0</v>
      </c>
    </row>
    <row r="232" spans="1:5" ht="14.5" x14ac:dyDescent="0.35">
      <c r="A232" s="1" t="str">
        <f>'DISCOVERY-EVAL'!H28</f>
        <v>G4</v>
      </c>
      <c r="B232" s="1" t="s">
        <v>718</v>
      </c>
      <c r="C232" t="str">
        <f>'DISCOVERY-EVAL'!I28</f>
        <v>STM32G474E-EVAL</v>
      </c>
      <c r="D232" s="1">
        <f>'DISCOVERY-EVAL'!K28-Roaming!E232</f>
        <v>1</v>
      </c>
      <c r="E232" s="1">
        <f t="shared" si="32"/>
        <v>0</v>
      </c>
    </row>
    <row r="233" spans="1:5" ht="14.5" x14ac:dyDescent="0.35">
      <c r="A233" s="1" t="str">
        <f>'DISCOVERY-EVAL'!H29</f>
        <v>G4</v>
      </c>
      <c r="B233" s="1" t="s">
        <v>718</v>
      </c>
      <c r="C233" t="str">
        <f>'DISCOVERY-EVAL'!I29</f>
        <v>STM32G474E-EVAL1</v>
      </c>
      <c r="D233" s="1">
        <f>'DISCOVERY-EVAL'!K29-Roaming!E233</f>
        <v>2</v>
      </c>
      <c r="E233" s="1">
        <f t="shared" si="32"/>
        <v>0</v>
      </c>
    </row>
    <row r="234" spans="1:5" ht="14.5" x14ac:dyDescent="0.35">
      <c r="A234" s="1" t="str">
        <f>'DISCOVERY-EVAL'!H30</f>
        <v>G4</v>
      </c>
      <c r="B234" s="1" t="s">
        <v>718</v>
      </c>
      <c r="C234" t="str">
        <f>'DISCOVERY-EVAL'!I30</f>
        <v>STM32G484E-EVAL</v>
      </c>
      <c r="D234" s="1">
        <f>'DISCOVERY-EVAL'!K30-Roaming!E234</f>
        <v>2</v>
      </c>
      <c r="E234" s="1">
        <f t="shared" si="32"/>
        <v>0</v>
      </c>
    </row>
    <row r="235" spans="1:5" ht="14.5" x14ac:dyDescent="0.35">
      <c r="A235" s="1" t="str">
        <f>'DISCOVERY-EVAL'!H31</f>
        <v>H7</v>
      </c>
      <c r="B235" s="1" t="s">
        <v>718</v>
      </c>
      <c r="C235" t="str">
        <f>'DISCOVERY-EVAL'!I31</f>
        <v>STM32H743I-EVAL</v>
      </c>
      <c r="D235" s="1">
        <f>'DISCOVERY-EVAL'!K31-Roaming!E235</f>
        <v>4</v>
      </c>
      <c r="E235" s="1">
        <f t="shared" si="32"/>
        <v>0</v>
      </c>
    </row>
    <row r="236" spans="1:5" ht="14.5" x14ac:dyDescent="0.35">
      <c r="A236" s="1" t="str">
        <f>'DISCOVERY-EVAL'!H32</f>
        <v>H7</v>
      </c>
      <c r="B236" s="1" t="s">
        <v>718</v>
      </c>
      <c r="C236" t="str">
        <f>'DISCOVERY-EVAL'!I32</f>
        <v>STM32H743I-EVAL2</v>
      </c>
      <c r="D236" s="1">
        <f>'DISCOVERY-EVAL'!K32-Roaming!E236</f>
        <v>2</v>
      </c>
      <c r="E236" s="1">
        <f t="shared" si="32"/>
        <v>0</v>
      </c>
    </row>
    <row r="237" spans="1:5" ht="14.5" x14ac:dyDescent="0.35">
      <c r="A237" s="1" t="str">
        <f>'DISCOVERY-EVAL'!H33</f>
        <v>H7</v>
      </c>
      <c r="B237" s="1" t="s">
        <v>718</v>
      </c>
      <c r="C237" t="str">
        <f>'DISCOVERY-EVAL'!I33</f>
        <v>STM32H747I-EVAL</v>
      </c>
      <c r="D237" s="1">
        <f>'DISCOVERY-EVAL'!K33-Roaming!E237</f>
        <v>1</v>
      </c>
      <c r="E237" s="1">
        <f t="shared" si="32"/>
        <v>0</v>
      </c>
    </row>
    <row r="238" spans="1:5" ht="14.5" x14ac:dyDescent="0.35">
      <c r="A238" s="1" t="str">
        <f>'DISCOVERY-EVAL'!H34</f>
        <v>H7</v>
      </c>
      <c r="B238" s="1" t="s">
        <v>718</v>
      </c>
      <c r="C238" t="str">
        <f>'DISCOVERY-EVAL'!I34</f>
        <v>STM32H753I-EVAL</v>
      </c>
      <c r="D238" s="1">
        <f>'DISCOVERY-EVAL'!K34-Roaming!E238</f>
        <v>6</v>
      </c>
      <c r="E238" s="1">
        <f t="shared" si="32"/>
        <v>0</v>
      </c>
    </row>
    <row r="239" spans="1:5" ht="14.5" x14ac:dyDescent="0.35">
      <c r="A239" s="1" t="str">
        <f>'DISCOVERY-EVAL'!H35</f>
        <v>H7</v>
      </c>
      <c r="B239" s="1" t="s">
        <v>718</v>
      </c>
      <c r="C239" t="str">
        <f>'DISCOVERY-EVAL'!I35</f>
        <v>STM32H753I-EVAL2</v>
      </c>
      <c r="D239" s="1">
        <f>'DISCOVERY-EVAL'!K35-Roaming!E239</f>
        <v>3</v>
      </c>
      <c r="E239" s="1">
        <f t="shared" si="32"/>
        <v>0</v>
      </c>
    </row>
    <row r="240" spans="1:5" ht="14.5" x14ac:dyDescent="0.35">
      <c r="A240" s="1" t="str">
        <f>'DISCOVERY-EVAL'!H36</f>
        <v>H7</v>
      </c>
      <c r="B240" s="1" t="s">
        <v>718</v>
      </c>
      <c r="C240" t="str">
        <f>'DISCOVERY-EVAL'!I36</f>
        <v>STM32H757I-EVAL</v>
      </c>
      <c r="D240" s="1">
        <f>'DISCOVERY-EVAL'!K36-Roaming!E240</f>
        <v>3</v>
      </c>
      <c r="E240" s="1">
        <f t="shared" si="32"/>
        <v>0</v>
      </c>
    </row>
    <row r="241" spans="1:36" ht="14.5" x14ac:dyDescent="0.35">
      <c r="A241" s="1" t="str">
        <f>'DISCOVERY-EVAL'!H37</f>
        <v>H8</v>
      </c>
      <c r="B241" s="1" t="s">
        <v>718</v>
      </c>
      <c r="C241" t="str">
        <f>'DISCOVERY-EVAL'!I37</f>
        <v>STM32H7B3I-EVAL</v>
      </c>
      <c r="D241" s="1">
        <f>'DISCOVERY-EVAL'!K37-Roaming!E241</f>
        <v>2</v>
      </c>
      <c r="E241" s="1">
        <f t="shared" si="32"/>
        <v>1</v>
      </c>
      <c r="Q241" s="1">
        <v>1</v>
      </c>
    </row>
    <row r="242" spans="1:36" ht="14.5" x14ac:dyDescent="0.35">
      <c r="A242" s="1" t="str">
        <f>'DISCOVERY-EVAL'!H38</f>
        <v>L0</v>
      </c>
      <c r="B242" s="1" t="s">
        <v>718</v>
      </c>
      <c r="C242" t="str">
        <f>'DISCOVERY-EVAL'!I38</f>
        <v>STM32L073Z-EVAL</v>
      </c>
      <c r="D242" s="1">
        <f>'DISCOVERY-EVAL'!K38-Roaming!E242</f>
        <v>1</v>
      </c>
      <c r="E242" s="1">
        <f t="shared" si="32"/>
        <v>1</v>
      </c>
      <c r="H242" s="1">
        <v>1</v>
      </c>
    </row>
    <row r="243" spans="1:36" ht="14.5" x14ac:dyDescent="0.35">
      <c r="A243" s="1" t="str">
        <f>'DISCOVERY-EVAL'!H39</f>
        <v>L1</v>
      </c>
      <c r="B243" s="1" t="s">
        <v>718</v>
      </c>
      <c r="C243" t="str">
        <f>'DISCOVERY-EVAL'!I39</f>
        <v>STM32L152D-EVAL</v>
      </c>
      <c r="D243" s="1">
        <f>'DISCOVERY-EVAL'!K39-Roaming!E243</f>
        <v>2</v>
      </c>
      <c r="E243" s="1">
        <f t="shared" si="32"/>
        <v>0</v>
      </c>
    </row>
    <row r="244" spans="1:36" ht="14.5" x14ac:dyDescent="0.35">
      <c r="A244" s="1" t="str">
        <f>'DISCOVERY-EVAL'!H40</f>
        <v>L4</v>
      </c>
      <c r="B244" s="1" t="s">
        <v>718</v>
      </c>
      <c r="C244" t="str">
        <f>'DISCOVERY-EVAL'!I40</f>
        <v>STM32L476G-EVAL</v>
      </c>
      <c r="D244" s="1">
        <f>'DISCOVERY-EVAL'!K40-Roaming!E244</f>
        <v>3</v>
      </c>
      <c r="E244" s="1">
        <f t="shared" si="32"/>
        <v>0</v>
      </c>
    </row>
    <row r="245" spans="1:36" ht="14.5" x14ac:dyDescent="0.35">
      <c r="A245" s="1" t="str">
        <f>'DISCOVERY-EVAL'!H41</f>
        <v>L4</v>
      </c>
      <c r="B245" s="1" t="s">
        <v>718</v>
      </c>
      <c r="C245" t="str">
        <f>'DISCOVERY-EVAL'!I41</f>
        <v>STM32L4R9I-EVAL</v>
      </c>
      <c r="D245" s="1">
        <f>'DISCOVERY-EVAL'!K41-Roaming!E245</f>
        <v>2</v>
      </c>
      <c r="E245" s="1">
        <f t="shared" si="32"/>
        <v>0</v>
      </c>
    </row>
    <row r="246" spans="1:36" ht="14.5" x14ac:dyDescent="0.35">
      <c r="A246" s="1" t="str">
        <f>'DISCOVERY-EVAL'!H42</f>
        <v>L5</v>
      </c>
      <c r="B246" s="1" t="s">
        <v>718</v>
      </c>
      <c r="C246" t="str">
        <f>'DISCOVERY-EVAL'!I42</f>
        <v>STM32L552E-EV</v>
      </c>
      <c r="D246" s="1">
        <f>'DISCOVERY-EVAL'!K42-Roaming!E246</f>
        <v>3</v>
      </c>
      <c r="E246" s="1">
        <f t="shared" si="32"/>
        <v>0</v>
      </c>
    </row>
    <row r="247" spans="1:36" ht="14.5" x14ac:dyDescent="0.35">
      <c r="A247" s="1" t="str">
        <f>'DISCOVERY-EVAL'!H43</f>
        <v>MPU</v>
      </c>
      <c r="B247" s="1" t="s">
        <v>718</v>
      </c>
      <c r="C247" t="str">
        <f>'DISCOVERY-EVAL'!I43</f>
        <v>STM32MP157A-EV1</v>
      </c>
      <c r="D247" s="1">
        <f>'DISCOVERY-EVAL'!K43-Roaming!E247</f>
        <v>1</v>
      </c>
      <c r="E247" s="1">
        <f t="shared" si="32"/>
        <v>0</v>
      </c>
    </row>
    <row r="248" spans="1:36" ht="14.5" x14ac:dyDescent="0.35">
      <c r="A248" s="1" t="str">
        <f>'DISCOVERY-EVAL'!H44</f>
        <v>MPU</v>
      </c>
      <c r="B248" s="1" t="s">
        <v>718</v>
      </c>
      <c r="C248" t="str">
        <f>'DISCOVERY-EVAL'!I44</f>
        <v>STM32MP157C-EV1</v>
      </c>
      <c r="D248" s="1">
        <f>'DISCOVERY-EVAL'!K44-Roaming!E248</f>
        <v>2</v>
      </c>
      <c r="E248" s="1">
        <f t="shared" si="32"/>
        <v>1</v>
      </c>
      <c r="X248" s="1">
        <v>1</v>
      </c>
    </row>
    <row r="249" spans="1:36" ht="14.5" x14ac:dyDescent="0.35">
      <c r="A249" s="1" t="str">
        <f>'DISCOVERY-EVAL'!H45</f>
        <v>MPU</v>
      </c>
      <c r="B249" s="1" t="s">
        <v>718</v>
      </c>
      <c r="C249" t="str">
        <f>'DISCOVERY-EVAL'!I45</f>
        <v>STM32MP157D-EV1</v>
      </c>
      <c r="D249" s="1">
        <f>'DISCOVERY-EVAL'!K45-Roaming!E249</f>
        <v>1</v>
      </c>
      <c r="E249" s="1">
        <f t="shared" si="32"/>
        <v>0</v>
      </c>
    </row>
    <row r="250" spans="1:36" ht="14.5" x14ac:dyDescent="0.35">
      <c r="A250" s="1" t="str">
        <f>'DISCOVERY-EVAL'!H46</f>
        <v>MPU</v>
      </c>
      <c r="B250" s="1" t="s">
        <v>718</v>
      </c>
      <c r="C250" t="str">
        <f>'DISCOVERY-EVAL'!I46</f>
        <v>STM32MP157F-EV1</v>
      </c>
      <c r="D250" s="1">
        <f>'DISCOVERY-EVAL'!K46-Roaming!E250</f>
        <v>1</v>
      </c>
      <c r="E250" s="1">
        <f t="shared" si="32"/>
        <v>0</v>
      </c>
    </row>
    <row r="251" spans="1:36" ht="14.5" x14ac:dyDescent="0.35">
      <c r="A251" s="1" t="str">
        <f>'DISCOVERY-EVAL'!H47</f>
        <v>MPU</v>
      </c>
      <c r="B251" s="1" t="s">
        <v>718</v>
      </c>
      <c r="C251" t="str">
        <f>'DISCOVERY-EVAL'!I47</f>
        <v>STM32MP257F-EV1 (MR1)</v>
      </c>
      <c r="D251" s="1">
        <f>'DISCOVERY-EVAL'!K47-Roaming!E251</f>
        <v>1</v>
      </c>
      <c r="E251" s="1">
        <f t="shared" ref="E251" si="33">SUM(F251:AJ251)</f>
        <v>0</v>
      </c>
    </row>
    <row r="252" spans="1:36" ht="14.5" x14ac:dyDescent="0.35">
      <c r="A252" s="1" t="str">
        <f>'DISCOVERY-EVAL'!H48</f>
        <v>MPU</v>
      </c>
      <c r="B252" s="1" t="s">
        <v>718</v>
      </c>
      <c r="C252" t="str">
        <f>'DISCOVERY-EVAL'!I48</f>
        <v>STM32MP257F-EV1 (MR2)</v>
      </c>
      <c r="D252" s="1">
        <f>'DISCOVERY-EVAL'!K48-Roaming!E252</f>
        <v>3</v>
      </c>
      <c r="E252" s="1">
        <f t="shared" si="32"/>
        <v>0</v>
      </c>
    </row>
    <row r="253" spans="1:36" ht="14.5" x14ac:dyDescent="0.35">
      <c r="A253" s="1" t="str">
        <f>'DISCOVERY-EVAL'!H49</f>
        <v>MPU</v>
      </c>
      <c r="B253" s="1" t="s">
        <v>718</v>
      </c>
      <c r="C253" t="str">
        <f>'DISCOVERY-EVAL'!I49</f>
        <v>STM32MP257F-EV1 (MR5)</v>
      </c>
      <c r="D253" s="1">
        <f>'DISCOVERY-EVAL'!K49-Roaming!E253</f>
        <v>5</v>
      </c>
      <c r="E253" s="1">
        <f t="shared" ref="E253" si="34">SUM(F253:AJ253)</f>
        <v>0</v>
      </c>
    </row>
    <row r="254" spans="1:36" ht="14.5" x14ac:dyDescent="0.35">
      <c r="A254" s="1" t="str">
        <f>'DISCOVERY-EVAL'!H50</f>
        <v>U5</v>
      </c>
      <c r="B254" s="1" t="s">
        <v>718</v>
      </c>
      <c r="C254" t="str">
        <f>'DISCOVERY-EVAL'!I50</f>
        <v>STM32U575I-EV</v>
      </c>
      <c r="D254" s="1">
        <f>'DISCOVERY-EVAL'!K50-Roaming!E254</f>
        <v>4</v>
      </c>
      <c r="E254" s="1">
        <f t="shared" si="32"/>
        <v>1</v>
      </c>
      <c r="H254" s="1">
        <v>1</v>
      </c>
    </row>
    <row r="255" spans="1:36" s="24" customFormat="1" ht="14.5" x14ac:dyDescent="0.35">
      <c r="A255" s="26"/>
      <c r="B255" s="26"/>
      <c r="C255" s="25"/>
      <c r="D255" s="31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</row>
    <row r="256" spans="1:36" ht="14.5" x14ac:dyDescent="0.35">
      <c r="A256" s="1">
        <f>'DISCOVERY-EVAL'!H54</f>
        <v>0</v>
      </c>
      <c r="B256" s="1" t="s">
        <v>719</v>
      </c>
      <c r="C256" t="str">
        <f>'DISCOVERY-EVAL'!I54</f>
        <v>STEVAL-2STPD01</v>
      </c>
      <c r="D256" s="1">
        <f>'DISCOVERY-EVAL'!K54-Roaming!E256</f>
        <v>2</v>
      </c>
      <c r="E256" s="1">
        <f t="shared" ref="E256:E296" si="35">SUM(F256:AJ256)</f>
        <v>0</v>
      </c>
    </row>
    <row r="257" spans="1:5" ht="14.5" x14ac:dyDescent="0.35">
      <c r="A257" s="1" t="str">
        <f>'DISCOVERY-EVAL'!H55</f>
        <v>Camera</v>
      </c>
      <c r="B257" s="1" t="s">
        <v>719</v>
      </c>
      <c r="C257" t="str">
        <f>'DISCOVERY-EVAL'!I55</f>
        <v>STEVAL-55G0MBI1</v>
      </c>
      <c r="D257" s="1">
        <f>'DISCOVERY-EVAL'!K55-Roaming!E257</f>
        <v>2</v>
      </c>
      <c r="E257" s="1">
        <f t="shared" ref="E257:E260" si="36">SUM(F257:AJ257)</f>
        <v>0</v>
      </c>
    </row>
    <row r="258" spans="1:5" ht="14.5" x14ac:dyDescent="0.35">
      <c r="A258" s="1" t="str">
        <f>'DISCOVERY-EVAL'!H56</f>
        <v>Camera</v>
      </c>
      <c r="B258" s="1" t="s">
        <v>719</v>
      </c>
      <c r="C258" t="str">
        <f>'DISCOVERY-EVAL'!I56</f>
        <v>STEVAL-55G1MBI1</v>
      </c>
      <c r="D258" s="1">
        <f>'DISCOVERY-EVAL'!K56-Roaming!E258</f>
        <v>2</v>
      </c>
      <c r="E258" s="1">
        <f t="shared" si="36"/>
        <v>0</v>
      </c>
    </row>
    <row r="259" spans="1:5" ht="14.5" x14ac:dyDescent="0.35">
      <c r="A259" s="1" t="str">
        <f>'DISCOVERY-EVAL'!H57</f>
        <v>Camera</v>
      </c>
      <c r="B259" s="1" t="s">
        <v>719</v>
      </c>
      <c r="C259" t="str">
        <f>'DISCOVERY-EVAL'!I57</f>
        <v>STEVAL-56G3MAI1</v>
      </c>
      <c r="D259" s="1">
        <f>'DISCOVERY-EVAL'!K57-Roaming!E259</f>
        <v>2</v>
      </c>
      <c r="E259" s="1">
        <f t="shared" si="36"/>
        <v>0</v>
      </c>
    </row>
    <row r="260" spans="1:5" ht="14.5" x14ac:dyDescent="0.35">
      <c r="A260" s="1" t="str">
        <f>'DISCOVERY-EVAL'!H58</f>
        <v>Camera</v>
      </c>
      <c r="B260" s="1" t="s">
        <v>719</v>
      </c>
      <c r="C260" t="str">
        <f>'DISCOVERY-EVAL'!I58</f>
        <v>STEVAL-66GYMAI1</v>
      </c>
      <c r="D260" s="1">
        <f>'DISCOVERY-EVAL'!K58-Roaming!E260</f>
        <v>2</v>
      </c>
      <c r="E260" s="1">
        <f t="shared" si="36"/>
        <v>0</v>
      </c>
    </row>
    <row r="261" spans="1:5" ht="14.5" x14ac:dyDescent="0.35">
      <c r="A261" s="1" t="str">
        <f>'DISCOVERY-EVAL'!H59</f>
        <v>WB</v>
      </c>
      <c r="B261" s="1" t="s">
        <v>719</v>
      </c>
      <c r="C261" t="str">
        <f>'DISCOVERY-EVAL'!I59</f>
        <v>STEVAL-ASTRA1B</v>
      </c>
      <c r="D261" s="1">
        <f>'DISCOVERY-EVAL'!K59-Roaming!E261</f>
        <v>4</v>
      </c>
      <c r="E261" s="1">
        <f t="shared" si="35"/>
        <v>0</v>
      </c>
    </row>
    <row r="262" spans="1:5" ht="14.5" x14ac:dyDescent="0.35">
      <c r="A262" s="1">
        <f>'DISCOVERY-EVAL'!H60</f>
        <v>0</v>
      </c>
      <c r="B262" s="1" t="s">
        <v>719</v>
      </c>
      <c r="C262" t="str">
        <f>'DISCOVERY-EVAL'!I60</f>
        <v>STEVAL-BCN002V1B</v>
      </c>
      <c r="D262" s="1">
        <f>'DISCOVERY-EVAL'!K60-Roaming!E262</f>
        <v>1</v>
      </c>
      <c r="E262" s="1">
        <f t="shared" si="35"/>
        <v>0</v>
      </c>
    </row>
    <row r="263" spans="1:5" ht="14.5" x14ac:dyDescent="0.35">
      <c r="A263" s="1" t="str">
        <f>'DISCOVERY-EVAL'!H61</f>
        <v>F4</v>
      </c>
      <c r="B263" s="1" t="s">
        <v>719</v>
      </c>
      <c r="C263" t="str">
        <f>'DISCOVERY-EVAL'!I61</f>
        <v>STEVAL-BCNKT01V1</v>
      </c>
      <c r="D263" s="1">
        <f>'DISCOVERY-EVAL'!K61-Roaming!E263</f>
        <v>1</v>
      </c>
      <c r="E263" s="1">
        <f t="shared" si="35"/>
        <v>0</v>
      </c>
    </row>
    <row r="264" spans="1:5" ht="14.5" x14ac:dyDescent="0.35">
      <c r="A264" s="1" t="str">
        <f>'DISCOVERY-EVAL'!H62</f>
        <v>F4</v>
      </c>
      <c r="B264" s="1" t="s">
        <v>719</v>
      </c>
      <c r="C264" t="str">
        <f>'DISCOVERY-EVAL'!I62</f>
        <v>STEVAL-BFA001V1B</v>
      </c>
      <c r="D264" s="1">
        <f>'DISCOVERY-EVAL'!K62-Roaming!E264</f>
        <v>3</v>
      </c>
      <c r="E264" s="1">
        <f t="shared" si="35"/>
        <v>0</v>
      </c>
    </row>
    <row r="265" spans="1:5" ht="14.5" x14ac:dyDescent="0.35">
      <c r="A265" s="1" t="str">
        <f>'DISCOVERY-EVAL'!H63</f>
        <v>F4</v>
      </c>
      <c r="B265" s="1" t="s">
        <v>719</v>
      </c>
      <c r="C265" t="str">
        <f>'DISCOVERY-EVAL'!I63</f>
        <v>STEVAL-BFA001V2B</v>
      </c>
      <c r="D265" s="1">
        <f>'DISCOVERY-EVAL'!K63-Roaming!E265</f>
        <v>2</v>
      </c>
      <c r="E265" s="1">
        <f t="shared" si="35"/>
        <v>0</v>
      </c>
    </row>
    <row r="266" spans="1:5" ht="14.5" x14ac:dyDescent="0.35">
      <c r="A266" s="1" t="str">
        <f>'DISCOVERY-EVAL'!H64</f>
        <v>Camera</v>
      </c>
      <c r="B266" s="1" t="s">
        <v>719</v>
      </c>
      <c r="C266" t="str">
        <f>'DISCOVERY-EVAL'!I64</f>
        <v>STEVAL-CAM-M0I1</v>
      </c>
      <c r="D266" s="1">
        <f>'DISCOVERY-EVAL'!K64-Roaming!E266</f>
        <v>3</v>
      </c>
      <c r="E266" s="1">
        <f t="shared" ref="E266" si="37">SUM(F266:AJ266)</f>
        <v>0</v>
      </c>
    </row>
    <row r="267" spans="1:5" ht="14.5" x14ac:dyDescent="0.35">
      <c r="A267" s="1">
        <f>'DISCOVERY-EVAL'!H65</f>
        <v>0</v>
      </c>
      <c r="B267" s="1" t="s">
        <v>719</v>
      </c>
      <c r="C267" t="str">
        <f>'DISCOVERY-EVAL'!I65</f>
        <v>STEVAL-CCA058V1</v>
      </c>
      <c r="D267" s="1">
        <f>'DISCOVERY-EVAL'!K65-Roaming!E267</f>
        <v>2</v>
      </c>
      <c r="E267" s="1">
        <f t="shared" si="35"/>
        <v>0</v>
      </c>
    </row>
    <row r="268" spans="1:5" ht="14.5" x14ac:dyDescent="0.35">
      <c r="A268" s="1">
        <f>'DISCOVERY-EVAL'!H66</f>
        <v>0</v>
      </c>
      <c r="B268" s="1" t="s">
        <v>719</v>
      </c>
      <c r="C268" t="str">
        <f>'DISCOVERY-EVAL'!I66</f>
        <v>STEVAL-CTM011V1</v>
      </c>
      <c r="D268" s="1">
        <f>'DISCOVERY-EVAL'!K66-Roaming!E268</f>
        <v>2</v>
      </c>
      <c r="E268" s="1">
        <f t="shared" ref="E268:E269" si="38">SUM(F268:AJ268)</f>
        <v>0</v>
      </c>
    </row>
    <row r="269" spans="1:5" ht="14.5" x14ac:dyDescent="0.35">
      <c r="A269" s="1">
        <f>'DISCOVERY-EVAL'!H67</f>
        <v>0</v>
      </c>
      <c r="B269" s="1" t="s">
        <v>719</v>
      </c>
      <c r="C269" t="str">
        <f>'DISCOVERY-EVAL'!I67</f>
        <v>STEVAL-FCU001V2</v>
      </c>
      <c r="D269" s="1">
        <f>'DISCOVERY-EVAL'!K67-Roaming!E269</f>
        <v>1</v>
      </c>
      <c r="E269" s="1">
        <f t="shared" si="38"/>
        <v>0</v>
      </c>
    </row>
    <row r="270" spans="1:5" ht="14.5" x14ac:dyDescent="0.35">
      <c r="A270" s="1" t="str">
        <f>'DISCOVERY-EVAL'!H68</f>
        <v>L1</v>
      </c>
      <c r="B270" s="1" t="s">
        <v>719</v>
      </c>
      <c r="C270" t="str">
        <f>'DISCOVERY-EVAL'!I68</f>
        <v>STEVAL-FKI868V1</v>
      </c>
      <c r="D270" s="1">
        <f>'DISCOVERY-EVAL'!K68-Roaming!E270</f>
        <v>1</v>
      </c>
      <c r="E270" s="1">
        <f t="shared" si="35"/>
        <v>0</v>
      </c>
    </row>
    <row r="271" spans="1:5" ht="14.5" x14ac:dyDescent="0.35">
      <c r="A271" s="1" t="str">
        <f>'DISCOVERY-EVAL'!H69</f>
        <v>F4</v>
      </c>
      <c r="B271" s="1" t="s">
        <v>719</v>
      </c>
      <c r="C271" t="str">
        <f>'DISCOVERY-EVAL'!I69</f>
        <v>STEVAL-IDP005V1</v>
      </c>
      <c r="D271" s="1">
        <f>'DISCOVERY-EVAL'!K69-Roaming!E271</f>
        <v>0</v>
      </c>
      <c r="E271" s="1">
        <f t="shared" si="35"/>
        <v>0</v>
      </c>
    </row>
    <row r="272" spans="1:5" ht="14.5" x14ac:dyDescent="0.35">
      <c r="A272" s="1" t="str">
        <f>'DISCOVERY-EVAL'!H70</f>
        <v>F4</v>
      </c>
      <c r="B272" s="1" t="s">
        <v>719</v>
      </c>
      <c r="C272" t="str">
        <f>'DISCOVERY-EVAL'!I70</f>
        <v>STEVAL-IDP005V2</v>
      </c>
      <c r="D272" s="1">
        <f>'DISCOVERY-EVAL'!K70-Roaming!E272</f>
        <v>0</v>
      </c>
      <c r="E272" s="1">
        <f t="shared" si="35"/>
        <v>0</v>
      </c>
    </row>
    <row r="273" spans="1:5" ht="14.5" x14ac:dyDescent="0.35">
      <c r="A273" s="1" t="str">
        <f>'DISCOVERY-EVAL'!H71</f>
        <v>F1</v>
      </c>
      <c r="B273" s="1" t="s">
        <v>719</v>
      </c>
      <c r="C273" t="str">
        <f>'DISCOVERY-EVAL'!I71</f>
        <v>STEVAL-IHM036V1</v>
      </c>
      <c r="D273" s="1">
        <f>'DISCOVERY-EVAL'!K71-Roaming!E273</f>
        <v>1</v>
      </c>
      <c r="E273" s="1">
        <f t="shared" si="35"/>
        <v>0</v>
      </c>
    </row>
    <row r="274" spans="1:5" ht="14.5" x14ac:dyDescent="0.35">
      <c r="A274" s="1" t="str">
        <f>'DISCOVERY-EVAL'!H72</f>
        <v>F1</v>
      </c>
      <c r="B274" s="1" t="s">
        <v>719</v>
      </c>
      <c r="C274" t="str">
        <f>'DISCOVERY-EVAL'!I72</f>
        <v>STEVAL-IHM038V1</v>
      </c>
      <c r="D274" s="1">
        <f>'DISCOVERY-EVAL'!K72-Roaming!E274</f>
        <v>1</v>
      </c>
      <c r="E274" s="1">
        <f t="shared" si="35"/>
        <v>0</v>
      </c>
    </row>
    <row r="275" spans="1:5" ht="14.5" x14ac:dyDescent="0.35">
      <c r="A275" s="1" t="str">
        <f>'DISCOVERY-EVAL'!H73</f>
        <v>F0</v>
      </c>
      <c r="B275" s="1" t="s">
        <v>719</v>
      </c>
      <c r="C275" t="str">
        <f>'DISCOVERY-EVAL'!I73</f>
        <v>STEVAL-LLL004V2</v>
      </c>
      <c r="D275" s="1">
        <f>'DISCOVERY-EVAL'!K73-Roaming!E275</f>
        <v>1</v>
      </c>
      <c r="E275" s="1">
        <f t="shared" si="35"/>
        <v>0</v>
      </c>
    </row>
    <row r="276" spans="1:5" ht="14.5" x14ac:dyDescent="0.35">
      <c r="A276" s="1" t="str">
        <f>'DISCOVERY-EVAL'!H74</f>
        <v>L0</v>
      </c>
      <c r="B276" s="1" t="s">
        <v>719</v>
      </c>
      <c r="C276" t="str">
        <f>'DISCOVERY-EVAL'!I74</f>
        <v>STEVAL-LLL011V1</v>
      </c>
      <c r="D276" s="1">
        <f>'DISCOVERY-EVAL'!K74-Roaming!E276</f>
        <v>1</v>
      </c>
      <c r="E276" s="1">
        <f t="shared" si="35"/>
        <v>0</v>
      </c>
    </row>
    <row r="277" spans="1:5" ht="14.5" x14ac:dyDescent="0.35">
      <c r="A277" s="1" t="str">
        <f>'DISCOVERY-EVAL'!H75</f>
        <v>F3</v>
      </c>
      <c r="B277" s="1" t="s">
        <v>719</v>
      </c>
      <c r="C277" t="str">
        <f>'DISCOVERY-EVAL'!I75</f>
        <v>STEVAL-LLL009V1</v>
      </c>
      <c r="D277" s="1">
        <f>'DISCOVERY-EVAL'!K75-Roaming!E277</f>
        <v>1</v>
      </c>
      <c r="E277" s="1">
        <f t="shared" si="35"/>
        <v>0</v>
      </c>
    </row>
    <row r="278" spans="1:5" ht="14.5" x14ac:dyDescent="0.35">
      <c r="A278" s="1">
        <f>'DISCOVERY-EVAL'!H76</f>
        <v>0</v>
      </c>
      <c r="B278" s="1" t="s">
        <v>719</v>
      </c>
      <c r="C278" t="str">
        <f>'DISCOVERY-EVAL'!I76</f>
        <v>STEVAL-MIC001</v>
      </c>
      <c r="D278" s="1">
        <f>'DISCOVERY-EVAL'!K76-Roaming!E278</f>
        <v>4</v>
      </c>
      <c r="E278" s="1">
        <f t="shared" ref="E278" si="39">SUM(F278:AJ278)</f>
        <v>0</v>
      </c>
    </row>
    <row r="279" spans="1:5" ht="14.5" x14ac:dyDescent="0.35">
      <c r="A279" s="1">
        <f>'DISCOVERY-EVAL'!H77</f>
        <v>0</v>
      </c>
      <c r="B279" s="1" t="s">
        <v>719</v>
      </c>
      <c r="C279" t="str">
        <f>'DISCOVERY-EVAL'!I77</f>
        <v>STEVAL-MIC008A</v>
      </c>
      <c r="D279" s="1">
        <f>'DISCOVERY-EVAL'!K77-Roaming!E279</f>
        <v>3</v>
      </c>
      <c r="E279" s="1">
        <f t="shared" ref="E279" si="40">SUM(F279:AJ279)</f>
        <v>0</v>
      </c>
    </row>
    <row r="280" spans="1:5" ht="14.5" x14ac:dyDescent="0.35">
      <c r="A280" s="1">
        <f>'DISCOVERY-EVAL'!H78</f>
        <v>0</v>
      </c>
      <c r="B280" s="1" t="s">
        <v>719</v>
      </c>
      <c r="C280" t="str">
        <f>'DISCOVERY-EVAL'!I78</f>
        <v>STEVAL-MKI109V3</v>
      </c>
      <c r="D280" s="1">
        <f>'DISCOVERY-EVAL'!K78-Roaming!E280</f>
        <v>4</v>
      </c>
      <c r="E280" s="1">
        <f t="shared" ref="E280" si="41">SUM(F280:AJ280)</f>
        <v>0</v>
      </c>
    </row>
    <row r="281" spans="1:5" ht="14.5" x14ac:dyDescent="0.35">
      <c r="A281" s="1">
        <f>'DISCOVERY-EVAL'!H79</f>
        <v>0</v>
      </c>
      <c r="B281" s="1" t="s">
        <v>719</v>
      </c>
      <c r="C281" t="str">
        <f>'DISCOVERY-EVAL'!I79</f>
        <v>STEVAL-MKI207V1</v>
      </c>
      <c r="D281" s="1">
        <f>'DISCOVERY-EVAL'!K79-Roaming!E281</f>
        <v>2</v>
      </c>
      <c r="E281" s="1">
        <f t="shared" si="35"/>
        <v>0</v>
      </c>
    </row>
    <row r="282" spans="1:5" ht="14.5" x14ac:dyDescent="0.35">
      <c r="A282" s="1">
        <f>'DISCOVERY-EVAL'!H80</f>
        <v>0</v>
      </c>
      <c r="B282" s="1" t="s">
        <v>719</v>
      </c>
      <c r="C282" t="str">
        <f>'DISCOVERY-EVAL'!I80</f>
        <v>STEVAL-MKI208V1K</v>
      </c>
      <c r="D282" s="1">
        <f>'DISCOVERY-EVAL'!K80-Roaming!E282</f>
        <v>4</v>
      </c>
      <c r="E282" s="1">
        <f t="shared" si="35"/>
        <v>0</v>
      </c>
    </row>
    <row r="283" spans="1:5" ht="14.5" x14ac:dyDescent="0.35">
      <c r="A283" s="1">
        <f>'DISCOVERY-EVAL'!H81</f>
        <v>0</v>
      </c>
      <c r="B283" s="1" t="s">
        <v>719</v>
      </c>
      <c r="C283" t="str">
        <f>'DISCOVERY-EVAL'!I81</f>
        <v>STEVAL-MKI245KA</v>
      </c>
      <c r="D283" s="1">
        <f>'DISCOVERY-EVAL'!K81-Roaming!E283</f>
        <v>4</v>
      </c>
      <c r="E283" s="1">
        <f t="shared" ref="E283" si="42">SUM(F283:AJ283)</f>
        <v>0</v>
      </c>
    </row>
    <row r="284" spans="1:5" ht="14.5" x14ac:dyDescent="0.35">
      <c r="A284" s="1" t="str">
        <f>'DISCOVERY-EVAL'!H82</f>
        <v>U5</v>
      </c>
      <c r="B284" s="1" t="s">
        <v>719</v>
      </c>
      <c r="C284" t="str">
        <f>'DISCOVERY-EVAL'!I82</f>
        <v>STEVAL-MKBOXPROA</v>
      </c>
      <c r="D284" s="1">
        <f>'DISCOVERY-EVAL'!K82-Roaming!E284</f>
        <v>7</v>
      </c>
      <c r="E284" s="1">
        <f t="shared" ref="E284" si="43">SUM(F284:AJ284)</f>
        <v>0</v>
      </c>
    </row>
    <row r="285" spans="1:5" ht="14.5" x14ac:dyDescent="0.35">
      <c r="A285" s="1" t="str">
        <f>'DISCOVERY-EVAL'!H83</f>
        <v>L4</v>
      </c>
      <c r="B285" s="1" t="s">
        <v>719</v>
      </c>
      <c r="C285" t="str">
        <f>'DISCOVERY-EVAL'!I83</f>
        <v>STEVAL-MKSBOX1V1</v>
      </c>
      <c r="D285" s="1">
        <f>'DISCOVERY-EVAL'!K83-Roaming!E285</f>
        <v>3</v>
      </c>
      <c r="E285" s="1">
        <f t="shared" si="35"/>
        <v>0</v>
      </c>
    </row>
    <row r="286" spans="1:5" ht="14.5" x14ac:dyDescent="0.35">
      <c r="A286" s="1">
        <f>'DISCOVERY-EVAL'!H84</f>
        <v>0</v>
      </c>
      <c r="B286" s="1" t="s">
        <v>719</v>
      </c>
      <c r="C286" t="str">
        <f>'DISCOVERY-EVAL'!I84</f>
        <v>STEVAL-PDETECT1</v>
      </c>
      <c r="D286" s="1">
        <f>'DISCOVERY-EVAL'!K84-Roaming!E286</f>
        <v>2</v>
      </c>
      <c r="E286" s="1">
        <f t="shared" ref="E286" si="44">SUM(F286:AJ286)</f>
        <v>0</v>
      </c>
    </row>
    <row r="287" spans="1:5" ht="14.5" x14ac:dyDescent="0.35">
      <c r="A287" s="1" t="str">
        <f>'DISCOVERY-EVAL'!H85</f>
        <v>L5</v>
      </c>
      <c r="B287" s="1" t="s">
        <v>719</v>
      </c>
      <c r="C287" t="str">
        <f>'DISCOVERY-EVAL'!I85</f>
        <v>STEVAL-PROTEUS1</v>
      </c>
      <c r="D287" s="1">
        <f>'DISCOVERY-EVAL'!K85-Roaming!E287</f>
        <v>4</v>
      </c>
      <c r="E287" s="1">
        <f t="shared" si="35"/>
        <v>0</v>
      </c>
    </row>
    <row r="288" spans="1:5" ht="14.5" x14ac:dyDescent="0.35">
      <c r="A288" s="1">
        <f>'DISCOVERY-EVAL'!H86</f>
        <v>0</v>
      </c>
      <c r="B288" s="1" t="s">
        <v>719</v>
      </c>
      <c r="C288" t="str">
        <f>'DISCOVERY-EVAL'!I86</f>
        <v>STEVAL-SILPLC01</v>
      </c>
      <c r="D288" s="1">
        <f>'DISCOVERY-EVAL'!K86-Roaming!E288</f>
        <v>2</v>
      </c>
      <c r="E288" s="1">
        <f t="shared" si="35"/>
        <v>0</v>
      </c>
    </row>
    <row r="289" spans="1:36" ht="14.5" x14ac:dyDescent="0.35">
      <c r="A289" s="1">
        <f>'DISCOVERY-EVAL'!H87</f>
        <v>0</v>
      </c>
      <c r="B289" s="1" t="s">
        <v>719</v>
      </c>
      <c r="C289" t="str">
        <f>'DISCOVERY-EVAL'!I87</f>
        <v>STEVAL-SMARTAG2</v>
      </c>
      <c r="D289" s="1">
        <f>'DISCOVERY-EVAL'!K87-Roaming!E289</f>
        <v>2</v>
      </c>
      <c r="E289" s="1">
        <f t="shared" si="35"/>
        <v>0</v>
      </c>
    </row>
    <row r="290" spans="1:36" ht="14.5" x14ac:dyDescent="0.35">
      <c r="A290" s="1">
        <f>'DISCOVERY-EVAL'!H88</f>
        <v>0</v>
      </c>
      <c r="B290" s="1" t="s">
        <v>719</v>
      </c>
      <c r="C290" t="str">
        <f>'DISCOVERY-EVAL'!I88</f>
        <v>STEVAL-SPIN3201</v>
      </c>
      <c r="D290" s="1">
        <f>'DISCOVERY-EVAL'!K88-Roaming!E290</f>
        <v>1</v>
      </c>
      <c r="E290" s="1">
        <f t="shared" si="35"/>
        <v>0</v>
      </c>
    </row>
    <row r="291" spans="1:36" ht="14.5" x14ac:dyDescent="0.35">
      <c r="A291" s="1" t="str">
        <f>'DISCOVERY-EVAL'!H89</f>
        <v>L4</v>
      </c>
      <c r="B291" s="1" t="s">
        <v>719</v>
      </c>
      <c r="C291" t="str">
        <f>'DISCOVERY-EVAL'!I89</f>
        <v>STEVAL-STLKT01V1</v>
      </c>
      <c r="D291" s="1">
        <f>'DISCOVERY-EVAL'!K89-Roaming!E291</f>
        <v>1</v>
      </c>
      <c r="E291" s="1">
        <f t="shared" si="35"/>
        <v>0</v>
      </c>
    </row>
    <row r="292" spans="1:36" ht="14.5" x14ac:dyDescent="0.35">
      <c r="A292" s="1" t="str">
        <f>'DISCOVERY-EVAL'!H90</f>
        <v>U5</v>
      </c>
      <c r="B292" s="1" t="s">
        <v>719</v>
      </c>
      <c r="C292" t="str">
        <f>'DISCOVERY-EVAL'!I90</f>
        <v>STEVAL-STWINBX1</v>
      </c>
      <c r="D292" s="1">
        <f>'DISCOVERY-EVAL'!K90-Roaming!E292</f>
        <v>4</v>
      </c>
      <c r="E292" s="1">
        <f t="shared" si="35"/>
        <v>0</v>
      </c>
    </row>
    <row r="293" spans="1:36" ht="14.5" x14ac:dyDescent="0.35">
      <c r="A293" s="1" t="str">
        <f>'DISCOVERY-EVAL'!H91</f>
        <v>L4</v>
      </c>
      <c r="B293" s="1" t="s">
        <v>719</v>
      </c>
      <c r="C293" t="str">
        <f>'DISCOVERY-EVAL'!I91</f>
        <v>STEVAL-STWINKT1A</v>
      </c>
      <c r="D293" s="1">
        <f>'DISCOVERY-EVAL'!K91-Roaming!E293</f>
        <v>3</v>
      </c>
      <c r="E293" s="1">
        <f t="shared" si="35"/>
        <v>0</v>
      </c>
    </row>
    <row r="294" spans="1:36" ht="14.5" x14ac:dyDescent="0.35">
      <c r="A294" s="1" t="str">
        <f>'DISCOVERY-EVAL'!H92</f>
        <v>L4</v>
      </c>
      <c r="B294" s="1" t="s">
        <v>719</v>
      </c>
      <c r="C294" t="str">
        <f>'DISCOVERY-EVAL'!I92</f>
        <v>STEVAL-STWINKT1B</v>
      </c>
      <c r="D294" s="1">
        <f>'DISCOVERY-EVAL'!K92-Roaming!E294</f>
        <v>3</v>
      </c>
      <c r="E294" s="1">
        <f t="shared" si="35"/>
        <v>1</v>
      </c>
      <c r="Y294" s="1">
        <v>1</v>
      </c>
    </row>
    <row r="295" spans="1:36" ht="14.5" x14ac:dyDescent="0.35">
      <c r="A295" s="1">
        <f>'DISCOVERY-EVAL'!H93</f>
        <v>0</v>
      </c>
      <c r="B295" s="1" t="s">
        <v>719</v>
      </c>
      <c r="C295" t="str">
        <f>'DISCOVERY-EVAL'!I93</f>
        <v>STEVAL-USBPD27S</v>
      </c>
      <c r="D295" s="1">
        <f>'DISCOVERY-EVAL'!K93-Roaming!E295</f>
        <v>4</v>
      </c>
      <c r="E295" s="1">
        <f t="shared" si="35"/>
        <v>0</v>
      </c>
    </row>
    <row r="296" spans="1:36" ht="14.5" x14ac:dyDescent="0.35">
      <c r="A296" s="1">
        <f>'DISCOVERY-EVAL'!H94</f>
        <v>0</v>
      </c>
      <c r="B296" s="1" t="s">
        <v>719</v>
      </c>
      <c r="C296" t="str">
        <f>'DISCOVERY-EVAL'!I94</f>
        <v>STEVAL-XPLM01CPL</v>
      </c>
      <c r="D296" s="1">
        <f>'DISCOVERY-EVAL'!K94-Roaming!E296</f>
        <v>2</v>
      </c>
      <c r="E296" s="1">
        <f t="shared" si="35"/>
        <v>0</v>
      </c>
    </row>
    <row r="297" spans="1:36" s="24" customFormat="1" ht="14.5" x14ac:dyDescent="0.35">
      <c r="A297" s="26"/>
      <c r="B297" s="26"/>
      <c r="C297" s="25"/>
      <c r="D297" s="31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</row>
    <row r="298" spans="1:36" ht="14.5" x14ac:dyDescent="0.35">
      <c r="A298" s="1" t="str">
        <f>NUCLEO!O3</f>
        <v>Camera</v>
      </c>
      <c r="B298" s="1" t="s">
        <v>720</v>
      </c>
      <c r="C298" t="str">
        <f>NUCLEO!P3</f>
        <v>B-CAMS-IMX (MZ2)</v>
      </c>
      <c r="D298" s="1">
        <f>NUCLEO!R3-Roaming!E298</f>
        <v>4</v>
      </c>
      <c r="E298" s="1">
        <f t="shared" ref="E298" si="45">SUM(F298:AJ298)</f>
        <v>0</v>
      </c>
    </row>
    <row r="299" spans="1:36" ht="14.5" x14ac:dyDescent="0.35">
      <c r="A299" s="1" t="str">
        <f>NUCLEO!O4</f>
        <v>Camera</v>
      </c>
      <c r="B299" s="1" t="s">
        <v>720</v>
      </c>
      <c r="C299" t="str">
        <f>NUCLEO!P4</f>
        <v>B-CAMS-IMX (MZ1)</v>
      </c>
      <c r="D299" s="1">
        <f>NUCLEO!R4-Roaming!E299</f>
        <v>6</v>
      </c>
      <c r="E299" s="1">
        <f t="shared" ref="E299" si="46">SUM(F299:AJ299)</f>
        <v>0</v>
      </c>
    </row>
    <row r="300" spans="1:36" ht="14.5" x14ac:dyDescent="0.35">
      <c r="A300" s="1" t="str">
        <f>NUCLEO!O5</f>
        <v>Camera</v>
      </c>
      <c r="B300" s="1" t="s">
        <v>720</v>
      </c>
      <c r="C300" t="str">
        <f>NUCLEO!P5</f>
        <v>B-CAMS-OMV</v>
      </c>
      <c r="D300" s="1">
        <f>NUCLEO!R5-Roaming!E300</f>
        <v>4</v>
      </c>
      <c r="E300" s="1">
        <f t="shared" ref="E300:E335" si="47">SUM(F300:AJ300)</f>
        <v>2</v>
      </c>
      <c r="L300" s="1">
        <v>2</v>
      </c>
    </row>
    <row r="301" spans="1:36" ht="14.5" x14ac:dyDescent="0.35">
      <c r="A301" s="1" t="str">
        <f>NUCLEO!O6</f>
        <v>Display</v>
      </c>
      <c r="B301" s="1" t="s">
        <v>720</v>
      </c>
      <c r="C301" t="str">
        <f>NUCLEO!P6</f>
        <v>B-LCD40-DSI1</v>
      </c>
      <c r="D301" s="1">
        <f>NUCLEO!R6-Roaming!E301</f>
        <v>2</v>
      </c>
      <c r="E301" s="1">
        <f t="shared" si="47"/>
        <v>0</v>
      </c>
    </row>
    <row r="302" spans="1:36" ht="14.5" x14ac:dyDescent="0.35">
      <c r="A302" s="1" t="str">
        <f>NUCLEO!O7</f>
        <v>Display</v>
      </c>
      <c r="B302" s="1" t="s">
        <v>720</v>
      </c>
      <c r="C302" t="str">
        <f>NUCLEO!P7</f>
        <v>B-LCDAD-HDMI1</v>
      </c>
      <c r="D302" s="1">
        <f>NUCLEO!R7-Roaming!E302</f>
        <v>2</v>
      </c>
      <c r="E302" s="1">
        <f t="shared" si="47"/>
        <v>0</v>
      </c>
    </row>
    <row r="303" spans="1:36" ht="14.5" x14ac:dyDescent="0.35">
      <c r="A303" s="1" t="str">
        <f>NUCLEO!O8</f>
        <v>Display</v>
      </c>
      <c r="B303" s="1" t="s">
        <v>720</v>
      </c>
      <c r="C303" t="str">
        <f>NUCLEO!P8</f>
        <v>B-LCDAD-RPI1</v>
      </c>
      <c r="D303" s="1">
        <f>NUCLEO!R8-Roaming!E303</f>
        <v>2</v>
      </c>
      <c r="E303" s="1">
        <f t="shared" si="47"/>
        <v>0</v>
      </c>
    </row>
    <row r="304" spans="1:36" ht="14.5" x14ac:dyDescent="0.35">
      <c r="A304" s="1" t="str">
        <f>NUCLEO!O9</f>
        <v>Display</v>
      </c>
      <c r="B304" s="1" t="s">
        <v>720</v>
      </c>
      <c r="C304" t="str">
        <f>NUCLEO!P9</f>
        <v>RVA15MD-NUC64A</v>
      </c>
      <c r="D304" s="1">
        <f>NUCLEO!R9-Roaming!E304</f>
        <v>2</v>
      </c>
      <c r="E304" s="1">
        <f t="shared" ref="E304:E305" si="48">SUM(F304:AJ304)</f>
        <v>0</v>
      </c>
    </row>
    <row r="305" spans="1:5" ht="14.5" x14ac:dyDescent="0.35">
      <c r="A305" s="1" t="str">
        <f>NUCLEO!O10</f>
        <v>Display</v>
      </c>
      <c r="B305" s="1" t="s">
        <v>720</v>
      </c>
      <c r="C305" t="str">
        <f>NUCLEO!P10</f>
        <v>RVA35HI-NUC144A</v>
      </c>
      <c r="D305" s="1">
        <f>NUCLEO!R10-Roaming!E305</f>
        <v>2</v>
      </c>
      <c r="E305" s="1">
        <f t="shared" si="48"/>
        <v>0</v>
      </c>
    </row>
    <row r="306" spans="1:5" ht="14.5" x14ac:dyDescent="0.35">
      <c r="A306" s="1" t="str">
        <f>NUCLEO!O11</f>
        <v>ToF</v>
      </c>
      <c r="B306" s="1" t="s">
        <v>720</v>
      </c>
      <c r="C306" t="str">
        <f>NUCLEO!P11</f>
        <v>X-NUCLEO-53L0A1</v>
      </c>
      <c r="D306" s="1">
        <f>NUCLEO!R11-Roaming!E306</f>
        <v>3</v>
      </c>
      <c r="E306" s="1">
        <f t="shared" si="47"/>
        <v>0</v>
      </c>
    </row>
    <row r="307" spans="1:5" ht="14.5" x14ac:dyDescent="0.35">
      <c r="A307" s="1" t="str">
        <f>NUCLEO!O12</f>
        <v>ToF</v>
      </c>
      <c r="B307" s="1" t="s">
        <v>720</v>
      </c>
      <c r="C307" t="str">
        <f>NUCLEO!P12</f>
        <v>X-NUCLEO-53L1A1</v>
      </c>
      <c r="D307" s="1">
        <f>NUCLEO!R12-Roaming!E307</f>
        <v>2</v>
      </c>
      <c r="E307" s="1">
        <f t="shared" si="47"/>
        <v>0</v>
      </c>
    </row>
    <row r="308" spans="1:5" ht="14.5" x14ac:dyDescent="0.35">
      <c r="A308" s="1" t="str">
        <f>NUCLEO!O13</f>
        <v>ToF</v>
      </c>
      <c r="B308" s="1" t="s">
        <v>720</v>
      </c>
      <c r="C308" t="str">
        <f>NUCLEO!P13</f>
        <v>X-NUCLEO-53L3A2</v>
      </c>
      <c r="D308" s="1">
        <f>NUCLEO!R13-Roaming!E308</f>
        <v>4</v>
      </c>
      <c r="E308" s="1">
        <f t="shared" si="47"/>
        <v>0</v>
      </c>
    </row>
    <row r="309" spans="1:5" ht="14.5" x14ac:dyDescent="0.35">
      <c r="A309" s="1" t="str">
        <f>NUCLEO!O14</f>
        <v>ToF</v>
      </c>
      <c r="B309" s="1" t="s">
        <v>720</v>
      </c>
      <c r="C309" t="str">
        <f>NUCLEO!P14</f>
        <v>X-NUCLEO-53L4A1</v>
      </c>
      <c r="D309" s="1">
        <f>NUCLEO!R14-Roaming!E309</f>
        <v>2</v>
      </c>
      <c r="E309" s="1">
        <f t="shared" si="47"/>
        <v>0</v>
      </c>
    </row>
    <row r="310" spans="1:5" ht="14.5" x14ac:dyDescent="0.35">
      <c r="A310" s="1" t="str">
        <f>NUCLEO!O15</f>
        <v>ToF</v>
      </c>
      <c r="B310" s="1" t="s">
        <v>720</v>
      </c>
      <c r="C310" t="str">
        <f>NUCLEO!P15</f>
        <v>X-NUCLEO-53L4A2</v>
      </c>
      <c r="D310" s="1">
        <f>NUCLEO!R15-Roaming!E310</f>
        <v>2</v>
      </c>
      <c r="E310" s="1">
        <f t="shared" si="47"/>
        <v>0</v>
      </c>
    </row>
    <row r="311" spans="1:5" ht="14.5" x14ac:dyDescent="0.35">
      <c r="A311" s="1" t="str">
        <f>NUCLEO!O16</f>
        <v>ToF</v>
      </c>
      <c r="B311" s="1" t="s">
        <v>720</v>
      </c>
      <c r="C311" t="str">
        <f>NUCLEO!P16</f>
        <v>X-NUCLEO-53L7A1</v>
      </c>
      <c r="D311" s="1">
        <f>NUCLEO!R16-Roaming!E311</f>
        <v>6</v>
      </c>
      <c r="E311" s="1">
        <f t="shared" si="47"/>
        <v>0</v>
      </c>
    </row>
    <row r="312" spans="1:5" ht="14.5" x14ac:dyDescent="0.35">
      <c r="A312" s="1" t="str">
        <f>NUCLEO!O17</f>
        <v>ToF</v>
      </c>
      <c r="B312" s="1" t="s">
        <v>720</v>
      </c>
      <c r="C312" t="str">
        <f>NUCLEO!P17</f>
        <v>X-NUCLEO-53L8A1</v>
      </c>
      <c r="D312" s="1">
        <f>NUCLEO!R17-Roaming!E312</f>
        <v>6</v>
      </c>
      <c r="E312" s="1">
        <f t="shared" si="47"/>
        <v>0</v>
      </c>
    </row>
    <row r="313" spans="1:5" ht="14.5" x14ac:dyDescent="0.35">
      <c r="A313" s="1" t="str">
        <f>NUCLEO!O18</f>
        <v>ToF</v>
      </c>
      <c r="B313" s="1" t="s">
        <v>720</v>
      </c>
      <c r="C313" t="str">
        <f>NUCLEO!P18</f>
        <v>X-NUCLEO-6180XA1</v>
      </c>
      <c r="D313" s="1">
        <f>NUCLEO!R18-Roaming!E313</f>
        <v>3</v>
      </c>
      <c r="E313" s="1">
        <f t="shared" si="47"/>
        <v>0</v>
      </c>
    </row>
    <row r="314" spans="1:5" ht="14.5" x14ac:dyDescent="0.35">
      <c r="A314" s="1" t="str">
        <f>NUCLEO!O19</f>
        <v>Microphone</v>
      </c>
      <c r="B314" s="1" t="s">
        <v>720</v>
      </c>
      <c r="C314" t="str">
        <f>NUCLEO!P19</f>
        <v>X-NUCLEO-AMICAM1</v>
      </c>
      <c r="D314" s="1">
        <f>NUCLEO!R19-Roaming!E314</f>
        <v>1</v>
      </c>
      <c r="E314" s="1">
        <f t="shared" si="47"/>
        <v>0</v>
      </c>
    </row>
    <row r="315" spans="1:5" ht="14.5" x14ac:dyDescent="0.35">
      <c r="A315" s="1" t="str">
        <f>NUCLEO!O20</f>
        <v>Audio</v>
      </c>
      <c r="B315" s="1" t="s">
        <v>720</v>
      </c>
      <c r="C315" t="str">
        <f>NUCLEO!P20</f>
        <v>X-NUCLEO-CCA01M1</v>
      </c>
      <c r="D315" s="1">
        <f>NUCLEO!R20-Roaming!E315</f>
        <v>2</v>
      </c>
      <c r="E315" s="1">
        <f t="shared" si="47"/>
        <v>0</v>
      </c>
    </row>
    <row r="316" spans="1:5" ht="14.5" x14ac:dyDescent="0.35">
      <c r="A316" s="1" t="str">
        <f>NUCLEO!O21</f>
        <v>Microphone</v>
      </c>
      <c r="B316" s="1" t="s">
        <v>720</v>
      </c>
      <c r="C316" t="str">
        <f>NUCLEO!P21</f>
        <v>X-NUCLEO-CCA02M2</v>
      </c>
      <c r="D316" s="1">
        <f>NUCLEO!R21-Roaming!E316</f>
        <v>3</v>
      </c>
      <c r="E316" s="1">
        <f t="shared" si="47"/>
        <v>0</v>
      </c>
    </row>
    <row r="317" spans="1:5" ht="14.5" x14ac:dyDescent="0.35">
      <c r="A317" s="1" t="str">
        <f>NUCLEO!O22</f>
        <v>USB-C PD</v>
      </c>
      <c r="B317" s="1" t="s">
        <v>720</v>
      </c>
      <c r="C317" t="str">
        <f>NUCLEO!P22</f>
        <v>X-NUCLEO-DRP1M1</v>
      </c>
      <c r="D317" s="1">
        <f>NUCLEO!R22-Roaming!E317</f>
        <v>2</v>
      </c>
      <c r="E317" s="1">
        <f t="shared" si="47"/>
        <v>0</v>
      </c>
    </row>
    <row r="318" spans="1:5" ht="14.5" x14ac:dyDescent="0.35">
      <c r="A318" s="1" t="str">
        <f>NUCLEO!O23</f>
        <v xml:space="preserve">EEPROM </v>
      </c>
      <c r="B318" s="1" t="s">
        <v>720</v>
      </c>
      <c r="C318" t="str">
        <f>NUCLEO!P23</f>
        <v>X-NUCLEO-EEICA1</v>
      </c>
      <c r="D318" s="1">
        <f>NUCLEO!R23-Roaming!E318</f>
        <v>4</v>
      </c>
      <c r="E318" s="1">
        <f t="shared" ref="E318" si="49">SUM(F318:AJ318)</f>
        <v>0</v>
      </c>
    </row>
    <row r="319" spans="1:5" ht="14.5" x14ac:dyDescent="0.35">
      <c r="A319" s="1" t="str">
        <f>NUCLEO!O24</f>
        <v xml:space="preserve">EEPROM </v>
      </c>
      <c r="B319" s="1" t="s">
        <v>720</v>
      </c>
      <c r="C319" t="str">
        <f>NUCLEO!P24</f>
        <v>X-NUCLEO-EEPRMA1</v>
      </c>
      <c r="D319" s="1">
        <f>NUCLEO!R24-Roaming!E319</f>
        <v>3</v>
      </c>
      <c r="E319" s="1">
        <f t="shared" si="47"/>
        <v>0</v>
      </c>
    </row>
    <row r="320" spans="1:5" ht="14.5" x14ac:dyDescent="0.35">
      <c r="A320" s="1" t="str">
        <f>NUCLEO!O25</f>
        <v xml:space="preserve">EEPROM </v>
      </c>
      <c r="B320" s="1" t="s">
        <v>720</v>
      </c>
      <c r="C320" t="str">
        <f>NUCLEO!P25</f>
        <v>X-NUCLEO-EEPRMA2</v>
      </c>
      <c r="D320" s="1">
        <f>NUCLEO!R25-Roaming!E320</f>
        <v>6</v>
      </c>
      <c r="E320" s="1">
        <f t="shared" si="47"/>
        <v>0</v>
      </c>
    </row>
    <row r="321" spans="1:24" ht="14.5" x14ac:dyDescent="0.35">
      <c r="A321" s="1" t="str">
        <f>NUCLEO!O26</f>
        <v>Display</v>
      </c>
      <c r="B321" s="1" t="s">
        <v>720</v>
      </c>
      <c r="C321" t="str">
        <f>NUCLEO!P26</f>
        <v>X-NUCLEO-GFX01M1</v>
      </c>
      <c r="D321" s="1">
        <f>NUCLEO!R26-Roaming!E321</f>
        <v>7</v>
      </c>
      <c r="E321" s="1">
        <f t="shared" si="47"/>
        <v>0</v>
      </c>
    </row>
    <row r="322" spans="1:24" ht="14.5" x14ac:dyDescent="0.35">
      <c r="A322" s="1" t="str">
        <f>NUCLEO!O27</f>
        <v>Display</v>
      </c>
      <c r="B322" s="1" t="s">
        <v>720</v>
      </c>
      <c r="C322" t="str">
        <f>NUCLEO!P27</f>
        <v>X-NUCLEO-GFX01M2 AZ1</v>
      </c>
      <c r="D322" s="1">
        <f>NUCLEO!R27-Roaming!E322</f>
        <v>3</v>
      </c>
      <c r="E322" s="1">
        <f t="shared" si="47"/>
        <v>1</v>
      </c>
      <c r="V322" s="1">
        <v>1</v>
      </c>
    </row>
    <row r="323" spans="1:24" ht="14.5" x14ac:dyDescent="0.35">
      <c r="A323" s="1" t="str">
        <f>NUCLEO!O28</f>
        <v>Display</v>
      </c>
      <c r="B323" s="1" t="s">
        <v>720</v>
      </c>
      <c r="C323" t="str">
        <f>NUCLEO!P28</f>
        <v>X-NUCLEO-GFX01M2 AZ2</v>
      </c>
      <c r="D323" s="1">
        <f>NUCLEO!R28-Roaming!E323</f>
        <v>4</v>
      </c>
      <c r="E323" s="1">
        <f t="shared" ref="E323" si="50">SUM(F323:AJ323)</f>
        <v>0</v>
      </c>
    </row>
    <row r="324" spans="1:24" ht="14.5" x14ac:dyDescent="0.35">
      <c r="A324" s="1" t="str">
        <f>NUCLEO!O29</f>
        <v>Display</v>
      </c>
      <c r="B324" s="1" t="s">
        <v>720</v>
      </c>
      <c r="C324" t="str">
        <f>NUCLEO!P29</f>
        <v>X-NUCLEO-GFX02Z1 AZ1</v>
      </c>
      <c r="D324" s="1">
        <f>NUCLEO!R29-Roaming!E324</f>
        <v>6</v>
      </c>
      <c r="E324" s="1">
        <f t="shared" si="47"/>
        <v>0</v>
      </c>
    </row>
    <row r="325" spans="1:24" ht="14.5" x14ac:dyDescent="0.35">
      <c r="A325" s="1" t="str">
        <f>NUCLEO!O30</f>
        <v>Display</v>
      </c>
      <c r="B325" s="1" t="s">
        <v>720</v>
      </c>
      <c r="C325" t="str">
        <f>NUCLEO!P30</f>
        <v>X-NUCLEO-GFX02Z1 AZ2</v>
      </c>
      <c r="D325" s="1">
        <f>NUCLEO!R30-Roaming!E325</f>
        <v>7</v>
      </c>
      <c r="E325" s="1">
        <f t="shared" si="47"/>
        <v>0</v>
      </c>
    </row>
    <row r="326" spans="1:24" ht="14.5" x14ac:dyDescent="0.35">
      <c r="A326" s="1" t="str">
        <f>NUCLEO!O31</f>
        <v>BlueNRG</v>
      </c>
      <c r="B326" s="1" t="s">
        <v>720</v>
      </c>
      <c r="C326" t="str">
        <f>NUCLEO!P31</f>
        <v>X-NUCLEO-IDB04A1</v>
      </c>
      <c r="D326" s="1">
        <f>NUCLEO!R31-Roaming!E326</f>
        <v>3</v>
      </c>
      <c r="E326" s="1">
        <f t="shared" si="47"/>
        <v>0</v>
      </c>
    </row>
    <row r="327" spans="1:24" ht="14.5" x14ac:dyDescent="0.35">
      <c r="A327" s="1" t="str">
        <f>NUCLEO!O32</f>
        <v>BlueNRG</v>
      </c>
      <c r="B327" s="1" t="s">
        <v>720</v>
      </c>
      <c r="C327" t="str">
        <f>NUCLEO!P32</f>
        <v>X-NUCLEO-IDB05A1</v>
      </c>
      <c r="D327" s="1">
        <f>NUCLEO!R32-Roaming!E327</f>
        <v>5</v>
      </c>
      <c r="E327" s="1">
        <f t="shared" si="47"/>
        <v>0</v>
      </c>
    </row>
    <row r="328" spans="1:24" ht="14.5" x14ac:dyDescent="0.35">
      <c r="A328" s="1" t="str">
        <f>NUCLEO!O33</f>
        <v>BlueNRG</v>
      </c>
      <c r="B328" s="1" t="s">
        <v>720</v>
      </c>
      <c r="C328" t="str">
        <f>NUCLEO!P33</f>
        <v>X-NUCLEO-IDB05A2</v>
      </c>
      <c r="D328" s="1">
        <f>NUCLEO!R33-Roaming!E328</f>
        <v>1</v>
      </c>
      <c r="E328" s="1">
        <f t="shared" si="47"/>
        <v>0</v>
      </c>
    </row>
    <row r="329" spans="1:24" ht="14.5" x14ac:dyDescent="0.35">
      <c r="A329" s="1" t="str">
        <f>NUCLEO!O34</f>
        <v>Sub-1 GHz 868 MHz</v>
      </c>
      <c r="B329" s="1" t="s">
        <v>720</v>
      </c>
      <c r="C329" t="str">
        <f>NUCLEO!P34</f>
        <v>X-NUCLEO-IDS01A4</v>
      </c>
      <c r="D329" s="1">
        <f>NUCLEO!R34-Roaming!E329</f>
        <v>3</v>
      </c>
      <c r="E329" s="1">
        <f t="shared" si="47"/>
        <v>0</v>
      </c>
    </row>
    <row r="330" spans="1:24" ht="14.5" x14ac:dyDescent="0.35">
      <c r="A330" s="1" t="str">
        <f>NUCLEO!O35</f>
        <v>Sub-1 GHz 915 MHz</v>
      </c>
      <c r="B330" s="1" t="s">
        <v>720</v>
      </c>
      <c r="C330" t="str">
        <f>NUCLEO!P35</f>
        <v>X-NUCLEO-IDS01A5</v>
      </c>
      <c r="D330" s="1">
        <f>NUCLEO!R35-Roaming!E330</f>
        <v>2</v>
      </c>
      <c r="E330" s="1">
        <f t="shared" si="47"/>
        <v>0</v>
      </c>
    </row>
    <row r="331" spans="1:24" ht="14.5" x14ac:dyDescent="0.35">
      <c r="A331" s="1" t="str">
        <f>NUCLEO!O36</f>
        <v>Wi-Fi</v>
      </c>
      <c r="B331" s="1" t="s">
        <v>720</v>
      </c>
      <c r="C331" t="str">
        <f>NUCLEO!P36</f>
        <v>X-NUCLEO-IDW01M1</v>
      </c>
      <c r="D331" s="1">
        <f>NUCLEO!R36-Roaming!E331</f>
        <v>1</v>
      </c>
      <c r="E331" s="1">
        <f t="shared" si="47"/>
        <v>0</v>
      </c>
    </row>
    <row r="332" spans="1:24" ht="14.5" x14ac:dyDescent="0.35">
      <c r="A332" s="1" t="str">
        <f>NUCLEO!O37</f>
        <v>Motor Control</v>
      </c>
      <c r="B332" s="1" t="s">
        <v>720</v>
      </c>
      <c r="C332" t="str">
        <f>NUCLEO!P37</f>
        <v>X-NUCLEO-IHM09M1</v>
      </c>
      <c r="D332" s="1">
        <f>NUCLEO!R37-Roaming!E332</f>
        <v>0</v>
      </c>
      <c r="E332" s="1">
        <f t="shared" si="47"/>
        <v>1</v>
      </c>
      <c r="X332" s="1">
        <v>1</v>
      </c>
    </row>
    <row r="333" spans="1:24" ht="14.5" x14ac:dyDescent="0.35">
      <c r="A333" s="1" t="str">
        <f>NUCLEO!O38</f>
        <v>Motor Control</v>
      </c>
      <c r="B333" s="1" t="s">
        <v>720</v>
      </c>
      <c r="C333" t="str">
        <f>NUCLEO!P38</f>
        <v>X-NUCLEO-IHM09M2</v>
      </c>
      <c r="D333" s="1">
        <f>NUCLEO!R38-Roaming!E333</f>
        <v>2</v>
      </c>
      <c r="E333" s="1">
        <f t="shared" si="47"/>
        <v>0</v>
      </c>
    </row>
    <row r="334" spans="1:24" ht="14.5" x14ac:dyDescent="0.35">
      <c r="A334" s="1" t="str">
        <f>NUCLEO!O39</f>
        <v>Motor Control</v>
      </c>
      <c r="B334" s="1" t="s">
        <v>720</v>
      </c>
      <c r="C334" t="str">
        <f>NUCLEO!P39</f>
        <v>X-NUCLEO-IHM15A1</v>
      </c>
      <c r="D334" s="1">
        <f>NUCLEO!R39-Roaming!E334</f>
        <v>3</v>
      </c>
      <c r="E334" s="1">
        <f t="shared" si="47"/>
        <v>1</v>
      </c>
      <c r="K334" s="1">
        <v>1</v>
      </c>
    </row>
    <row r="335" spans="1:24" ht="14.5" x14ac:dyDescent="0.35">
      <c r="A335" s="1" t="str">
        <f>NUCLEO!O40</f>
        <v>OpAmps</v>
      </c>
      <c r="B335" s="1" t="s">
        <v>720</v>
      </c>
      <c r="C335" t="str">
        <f>NUCLEO!P40</f>
        <v>X-NUCLEO-IKA01A1</v>
      </c>
      <c r="D335" s="1">
        <f>NUCLEO!R40-Roaming!E335</f>
        <v>6</v>
      </c>
      <c r="E335" s="1">
        <f t="shared" si="47"/>
        <v>0</v>
      </c>
    </row>
    <row r="336" spans="1:24" ht="14.5" x14ac:dyDescent="0.35">
      <c r="A336" s="1" t="str">
        <f>NUCLEO!O41</f>
        <v>Mems</v>
      </c>
      <c r="B336" s="1" t="s">
        <v>720</v>
      </c>
      <c r="C336" t="str">
        <f>NUCLEO!P41</f>
        <v>X-NUCLEO-IKS01A2</v>
      </c>
      <c r="D336" s="1">
        <f>NUCLEO!R41-Roaming!E336</f>
        <v>6</v>
      </c>
      <c r="E336" s="1">
        <f t="shared" ref="E336:E365" si="51">SUM(F336:AJ336)</f>
        <v>0</v>
      </c>
    </row>
    <row r="337" spans="1:21" ht="14.5" x14ac:dyDescent="0.35">
      <c r="A337" s="1" t="str">
        <f>NUCLEO!O42</f>
        <v>Mems</v>
      </c>
      <c r="B337" s="1" t="s">
        <v>720</v>
      </c>
      <c r="C337" t="str">
        <f>NUCLEO!P42</f>
        <v>X-NUCLEO-IKS01A3</v>
      </c>
      <c r="D337" s="1">
        <f>NUCLEO!R42-Roaming!E337</f>
        <v>7</v>
      </c>
      <c r="E337" s="1">
        <f t="shared" si="51"/>
        <v>1</v>
      </c>
      <c r="K337" s="1">
        <v>1</v>
      </c>
    </row>
    <row r="338" spans="1:21" ht="14.5" x14ac:dyDescent="0.35">
      <c r="A338" s="1" t="str">
        <f>NUCLEO!O43</f>
        <v>Mems-Micro</v>
      </c>
      <c r="B338" s="1" t="s">
        <v>720</v>
      </c>
      <c r="C338" t="str">
        <f>NUCLEO!P43</f>
        <v>X-NUCLEO-IKS02A1</v>
      </c>
      <c r="D338" s="1">
        <f>NUCLEO!R43-Roaming!E338</f>
        <v>7</v>
      </c>
      <c r="E338" s="1">
        <f t="shared" si="51"/>
        <v>0</v>
      </c>
    </row>
    <row r="339" spans="1:21" ht="14.5" x14ac:dyDescent="0.35">
      <c r="A339" s="1" t="str">
        <f>NUCLEO!O44</f>
        <v>Mems</v>
      </c>
      <c r="B339" s="1" t="s">
        <v>720</v>
      </c>
      <c r="C339" t="str">
        <f>NUCLEO!P44</f>
        <v>X-NUCLEO-IKS4A1</v>
      </c>
      <c r="D339" s="1">
        <f>NUCLEO!R44-Roaming!E339</f>
        <v>4</v>
      </c>
      <c r="E339" s="1">
        <f t="shared" ref="E339" si="52">SUM(F339:AJ339)</f>
        <v>0</v>
      </c>
      <c r="U339" s="1">
        <v>0</v>
      </c>
    </row>
    <row r="340" spans="1:21" ht="14.5" x14ac:dyDescent="0.35">
      <c r="A340" s="1" t="str">
        <f>NUCLEO!O45</f>
        <v>Power</v>
      </c>
      <c r="B340" s="1" t="s">
        <v>720</v>
      </c>
      <c r="C340" t="str">
        <f>NUCLEO!P45</f>
        <v>X-NUCLEO-IOD02A1</v>
      </c>
      <c r="D340" s="1">
        <f>NUCLEO!R45-Roaming!E340</f>
        <v>1</v>
      </c>
      <c r="E340" s="1">
        <f t="shared" si="51"/>
        <v>0</v>
      </c>
    </row>
    <row r="341" spans="1:21" ht="14.5" x14ac:dyDescent="0.35">
      <c r="A341" s="1" t="str">
        <f>NUCLEO!O46</f>
        <v>Power</v>
      </c>
      <c r="B341" s="1" t="s">
        <v>720</v>
      </c>
      <c r="C341" t="str">
        <f>NUCLEO!P46</f>
        <v>X-NUCLEO-IPS02A1</v>
      </c>
      <c r="D341" s="1">
        <f>NUCLEO!R46-Roaming!E341</f>
        <v>0</v>
      </c>
      <c r="E341" s="1">
        <f t="shared" si="51"/>
        <v>0</v>
      </c>
    </row>
    <row r="342" spans="1:21" ht="14.5" x14ac:dyDescent="0.35">
      <c r="A342" s="1" t="str">
        <f>NUCLEO!O47</f>
        <v>LED</v>
      </c>
      <c r="B342" s="1" t="s">
        <v>720</v>
      </c>
      <c r="C342" t="str">
        <f>NUCLEO!P47</f>
        <v>X-NUCLEO-LED16A1</v>
      </c>
      <c r="D342" s="1">
        <f>NUCLEO!R47-Roaming!E342</f>
        <v>2</v>
      </c>
      <c r="E342" s="1">
        <f t="shared" si="51"/>
        <v>0</v>
      </c>
    </row>
    <row r="343" spans="1:21" ht="14.5" x14ac:dyDescent="0.35">
      <c r="A343" s="1" t="str">
        <f>NUCLEO!O48</f>
        <v>LED</v>
      </c>
      <c r="B343" s="1" t="s">
        <v>720</v>
      </c>
      <c r="C343" t="str">
        <f>NUCLEO!P48</f>
        <v>X-NUCLEO-LED61A1</v>
      </c>
      <c r="D343" s="1">
        <f>NUCLEO!R48-Roaming!E343</f>
        <v>2</v>
      </c>
      <c r="E343" s="1">
        <f t="shared" si="51"/>
        <v>0</v>
      </c>
    </row>
    <row r="344" spans="1:21" ht="14.5" x14ac:dyDescent="0.35">
      <c r="A344" s="1" t="str">
        <f>NUCLEO!O49</f>
        <v>GNSS</v>
      </c>
      <c r="B344" s="1" t="s">
        <v>720</v>
      </c>
      <c r="C344" t="str">
        <f>NUCLEO!P49</f>
        <v>X-NUCLEO-LIV4A1A</v>
      </c>
      <c r="D344" s="1">
        <f>NUCLEO!R49-Roaming!E344</f>
        <v>2</v>
      </c>
      <c r="E344" s="1">
        <f t="shared" ref="E344" si="53">SUM(F344:AJ344)</f>
        <v>0</v>
      </c>
    </row>
    <row r="345" spans="1:21" ht="14.5" x14ac:dyDescent="0.35">
      <c r="A345" s="1" t="str">
        <f>NUCLEO!O50</f>
        <v>Power</v>
      </c>
      <c r="B345" s="1" t="s">
        <v>720</v>
      </c>
      <c r="C345" t="str">
        <f>NUCLEO!P50</f>
        <v>X-NUCLEO-LPM01A</v>
      </c>
      <c r="D345" s="1">
        <f>NUCLEO!R50-Roaming!E345</f>
        <v>4</v>
      </c>
      <c r="E345" s="1">
        <f t="shared" si="51"/>
        <v>0</v>
      </c>
    </row>
    <row r="346" spans="1:21" ht="14.5" x14ac:dyDescent="0.35">
      <c r="A346" s="1" t="str">
        <f>NUCLEO!O51</f>
        <v>NFC</v>
      </c>
      <c r="B346" s="1" t="s">
        <v>720</v>
      </c>
      <c r="C346" t="str">
        <f>NUCLEO!P51</f>
        <v>X-NUCLEO-NFC01A1</v>
      </c>
      <c r="D346" s="1">
        <f>NUCLEO!R51-Roaming!E346</f>
        <v>2</v>
      </c>
      <c r="E346" s="1">
        <f t="shared" si="51"/>
        <v>0</v>
      </c>
    </row>
    <row r="347" spans="1:21" ht="14.5" x14ac:dyDescent="0.35">
      <c r="A347" s="1" t="str">
        <f>NUCLEO!O52</f>
        <v>NFC</v>
      </c>
      <c r="B347" s="1" t="s">
        <v>720</v>
      </c>
      <c r="C347" t="str">
        <f>NUCLEO!P52</f>
        <v>X-NUCLEO-NFC01A2</v>
      </c>
      <c r="D347" s="1">
        <f>NUCLEO!R52-Roaming!E347</f>
        <v>1</v>
      </c>
      <c r="E347" s="1">
        <f t="shared" si="51"/>
        <v>0</v>
      </c>
    </row>
    <row r="348" spans="1:21" ht="14.5" x14ac:dyDescent="0.35">
      <c r="A348" s="1" t="str">
        <f>NUCLEO!O53</f>
        <v>NFC</v>
      </c>
      <c r="B348" s="1" t="s">
        <v>720</v>
      </c>
      <c r="C348" t="str">
        <f>NUCLEO!P53</f>
        <v>X-NUCLEO-NFC03A1</v>
      </c>
      <c r="D348" s="1">
        <f>NUCLEO!R53-Roaming!E348</f>
        <v>1</v>
      </c>
      <c r="E348" s="1">
        <f t="shared" si="51"/>
        <v>0</v>
      </c>
    </row>
    <row r="349" spans="1:21" ht="14.5" x14ac:dyDescent="0.35">
      <c r="A349" s="1" t="str">
        <f>NUCLEO!O54</f>
        <v>NFC</v>
      </c>
      <c r="B349" s="1" t="s">
        <v>720</v>
      </c>
      <c r="C349" t="str">
        <f>NUCLEO!P54</f>
        <v>X-NUCLEO-NFC04A1</v>
      </c>
      <c r="D349" s="1">
        <f>NUCLEO!R54-Roaming!E349</f>
        <v>2</v>
      </c>
      <c r="E349" s="1">
        <f t="shared" si="51"/>
        <v>0</v>
      </c>
    </row>
    <row r="350" spans="1:21" ht="14.5" x14ac:dyDescent="0.35">
      <c r="A350" s="1" t="str">
        <f>NUCLEO!O56</f>
        <v>NFC</v>
      </c>
      <c r="B350" s="1" t="s">
        <v>720</v>
      </c>
      <c r="C350" t="str">
        <f>NUCLEO!P55</f>
        <v>X-NUCLEO-NFC05A1</v>
      </c>
      <c r="D350" s="1">
        <f>NUCLEO!R55-Roaming!E350</f>
        <v>1</v>
      </c>
      <c r="E350" s="1">
        <f t="shared" si="51"/>
        <v>0</v>
      </c>
    </row>
    <row r="351" spans="1:21" ht="14.5" x14ac:dyDescent="0.35">
      <c r="A351" s="1" t="str">
        <f>NUCLEO!O57</f>
        <v>NFC</v>
      </c>
      <c r="B351" s="1" t="s">
        <v>720</v>
      </c>
      <c r="C351" t="str">
        <f>NUCLEO!P56</f>
        <v>X-NUCLEO-NFC06A1</v>
      </c>
      <c r="D351" s="1">
        <f>NUCLEO!R56-Roaming!E351</f>
        <v>2</v>
      </c>
      <c r="E351" s="1">
        <f t="shared" si="51"/>
        <v>0</v>
      </c>
    </row>
    <row r="352" spans="1:21" ht="14.5" x14ac:dyDescent="0.35">
      <c r="A352" s="1" t="str">
        <f>NUCLEO!O58</f>
        <v>Power</v>
      </c>
      <c r="B352" s="1" t="s">
        <v>720</v>
      </c>
      <c r="C352" t="str">
        <f>NUCLEO!P57</f>
        <v>X-NUCLEO-NFC08A1</v>
      </c>
      <c r="D352" s="1">
        <f>NUCLEO!R57-Roaming!E352</f>
        <v>2</v>
      </c>
      <c r="E352" s="1">
        <f t="shared" si="51"/>
        <v>0</v>
      </c>
    </row>
    <row r="353" spans="1:36" ht="14.5" x14ac:dyDescent="0.35">
      <c r="A353" s="1" t="str">
        <f>NUCLEO!O59</f>
        <v>Power</v>
      </c>
      <c r="B353" s="1" t="s">
        <v>720</v>
      </c>
      <c r="C353" t="str">
        <f>NUCLEO!P58</f>
        <v>X-NUCLEO-OUT04A1</v>
      </c>
      <c r="D353" s="1">
        <f>NUCLEO!R58-Roaming!E353</f>
        <v>2</v>
      </c>
      <c r="E353" s="1">
        <f t="shared" si="51"/>
        <v>0</v>
      </c>
    </row>
    <row r="354" spans="1:36" ht="14.5" x14ac:dyDescent="0.35">
      <c r="A354" s="1" t="str">
        <f>NUCLEO!O60</f>
        <v>Power</v>
      </c>
      <c r="B354" s="1" t="s">
        <v>720</v>
      </c>
      <c r="C354" t="str">
        <f>NUCLEO!P59</f>
        <v>X-NUCLEO-OUT07A1</v>
      </c>
      <c r="D354" s="1">
        <f>NUCLEO!R59-Roaming!E354</f>
        <v>2</v>
      </c>
      <c r="E354" s="1">
        <f t="shared" ref="E354" si="54">SUM(F354:AJ354)</f>
        <v>0</v>
      </c>
    </row>
    <row r="355" spans="1:36" ht="14.5" x14ac:dyDescent="0.35">
      <c r="A355" s="1" t="str">
        <f>NUCLEO!O61</f>
        <v>Power</v>
      </c>
      <c r="B355" s="1" t="s">
        <v>720</v>
      </c>
      <c r="C355" t="str">
        <f>NUCLEO!P60</f>
        <v>X-NUCLEO-OUT14A1</v>
      </c>
      <c r="D355" s="1">
        <f>NUCLEO!R60-Roaming!E355</f>
        <v>2</v>
      </c>
      <c r="E355" s="1">
        <f t="shared" ref="E355" si="55">SUM(F355:AJ355)</f>
        <v>0</v>
      </c>
    </row>
    <row r="356" spans="1:36" ht="14.5" x14ac:dyDescent="0.35">
      <c r="A356" s="1" t="str">
        <f>NUCLEO!O62</f>
        <v>Power</v>
      </c>
      <c r="B356" s="1" t="s">
        <v>720</v>
      </c>
      <c r="C356" t="str">
        <f>NUCLEO!P61</f>
        <v>X-NUCLEO-OUT15A1</v>
      </c>
      <c r="D356" s="1">
        <f>NUCLEO!R61-Roaming!E356</f>
        <v>2</v>
      </c>
      <c r="E356" s="1">
        <f t="shared" si="51"/>
        <v>0</v>
      </c>
    </row>
    <row r="357" spans="1:36" ht="14.5" x14ac:dyDescent="0.35">
      <c r="A357" s="1" t="str">
        <f>NUCLEO!O63</f>
        <v xml:space="preserve">EEPROM </v>
      </c>
      <c r="B357" s="1" t="s">
        <v>720</v>
      </c>
      <c r="C357" t="str">
        <f>NUCLEO!P62</f>
        <v>X-NUCLEO-PLM01A1</v>
      </c>
      <c r="D357" s="1">
        <f>NUCLEO!R62-Roaming!E357</f>
        <v>4</v>
      </c>
      <c r="E357" s="1">
        <f t="shared" si="51"/>
        <v>0</v>
      </c>
    </row>
    <row r="358" spans="1:36" ht="14.5" x14ac:dyDescent="0.35">
      <c r="A358" s="1" t="str">
        <f>NUCLEO!O64</f>
        <v>Sub-1 GHz 868 MHz</v>
      </c>
      <c r="B358" s="1" t="s">
        <v>720</v>
      </c>
      <c r="C358" t="str">
        <f>NUCLEO!P63</f>
        <v>X-NUCLEO-PGEEZ1</v>
      </c>
      <c r="D358" s="1">
        <f>NUCLEO!R63-Roaming!E358</f>
        <v>2</v>
      </c>
      <c r="E358" s="1">
        <f t="shared" si="51"/>
        <v>0</v>
      </c>
    </row>
    <row r="359" spans="1:36" ht="14.5" x14ac:dyDescent="0.35">
      <c r="A359" s="1" t="str">
        <f>NUCLEO!O65</f>
        <v>ST Safe</v>
      </c>
      <c r="B359" s="1" t="s">
        <v>720</v>
      </c>
      <c r="C359" t="str">
        <f>NUCLEO!P64</f>
        <v>X-NUCLEO-S2868A1</v>
      </c>
      <c r="D359" s="1">
        <f>NUCLEO!R64-Roaming!E359</f>
        <v>3</v>
      </c>
      <c r="E359" s="1">
        <f t="shared" si="51"/>
        <v>0</v>
      </c>
    </row>
    <row r="360" spans="1:36" ht="14.5" x14ac:dyDescent="0.35">
      <c r="A360" s="1" t="str">
        <f>NUCLEO!O66</f>
        <v>USB-C PD</v>
      </c>
      <c r="B360" s="1" t="s">
        <v>720</v>
      </c>
      <c r="C360" t="str">
        <f>NUCLEO!P65</f>
        <v>X-NUCLEO-SAFEA1A</v>
      </c>
      <c r="D360" s="1">
        <f>NUCLEO!R65-Roaming!E360</f>
        <v>4</v>
      </c>
      <c r="E360" s="1">
        <f t="shared" si="51"/>
        <v>0</v>
      </c>
    </row>
    <row r="361" spans="1:36" ht="14.5" x14ac:dyDescent="0.35">
      <c r="A361" s="1" t="str">
        <f>NUCLEO!O67</f>
        <v>USB-C PD</v>
      </c>
      <c r="B361" s="1" t="s">
        <v>720</v>
      </c>
      <c r="C361" t="str">
        <f>NUCLEO!P66</f>
        <v>X-NUCLEO-SNK1M1</v>
      </c>
      <c r="D361" s="1">
        <f>NUCLEO!R66-Roaming!E361</f>
        <v>4</v>
      </c>
      <c r="E361" s="1">
        <f t="shared" si="51"/>
        <v>0</v>
      </c>
    </row>
    <row r="362" spans="1:36" ht="14.5" x14ac:dyDescent="0.35">
      <c r="A362" s="1" t="str">
        <f>NUCLEO!O68</f>
        <v>USB-C PD</v>
      </c>
      <c r="B362" s="1" t="s">
        <v>720</v>
      </c>
      <c r="C362" t="str">
        <f>NUCLEO!P67</f>
        <v>X-NUCLEO-SRC1M1</v>
      </c>
      <c r="D362" s="1">
        <f>NUCLEO!R67-Roaming!E362</f>
        <v>4</v>
      </c>
      <c r="E362" s="1">
        <f t="shared" si="51"/>
        <v>0</v>
      </c>
    </row>
    <row r="363" spans="1:36" ht="14.5" x14ac:dyDescent="0.35">
      <c r="A363" s="1" t="str">
        <f>NUCLEO!O69</f>
        <v>ST Safe</v>
      </c>
      <c r="B363" s="1" t="s">
        <v>720</v>
      </c>
      <c r="C363" t="str">
        <f>NUCLEO!P68</f>
        <v>X-NUCLEO-STMODA1</v>
      </c>
      <c r="D363" s="1">
        <f>NUCLEO!R68-Roaming!E363</f>
        <v>2</v>
      </c>
      <c r="E363" s="1">
        <f t="shared" si="51"/>
        <v>0</v>
      </c>
    </row>
    <row r="364" spans="1:36" ht="14.5" x14ac:dyDescent="0.35">
      <c r="A364" s="1" t="str">
        <f>NUCLEO!O70</f>
        <v>USB-C PD</v>
      </c>
      <c r="B364" s="1" t="s">
        <v>720</v>
      </c>
      <c r="C364" t="str">
        <f>NUCLEO!P69</f>
        <v>X-NUCLEO-STSA100</v>
      </c>
      <c r="D364" s="1">
        <f>NUCLEO!R69-Roaming!E364</f>
        <v>6</v>
      </c>
      <c r="E364" s="1">
        <f t="shared" si="51"/>
        <v>0</v>
      </c>
    </row>
    <row r="365" spans="1:36" ht="14.5" x14ac:dyDescent="0.35">
      <c r="A365" s="1" t="e">
        <f>NUCLEO!#REF!</f>
        <v>#REF!</v>
      </c>
      <c r="B365" s="1" t="s">
        <v>720</v>
      </c>
      <c r="C365" t="str">
        <f>NUCLEO!P70</f>
        <v>X-NUCLEO-USBPDM1</v>
      </c>
      <c r="D365" s="1">
        <f>NUCLEO!R70-Roaming!E365</f>
        <v>1</v>
      </c>
      <c r="E365" s="1">
        <f t="shared" si="51"/>
        <v>0</v>
      </c>
      <c r="S365" s="1"/>
    </row>
    <row r="366" spans="1:36" s="24" customFormat="1" ht="14.5" x14ac:dyDescent="0.35">
      <c r="A366" s="26"/>
      <c r="B366" s="26"/>
      <c r="C366" s="25"/>
      <c r="D366" s="31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</row>
    <row r="367" spans="1:36" ht="14.5" x14ac:dyDescent="0.35">
      <c r="A367" s="1" t="str">
        <f>Furnitures!A2</f>
        <v>Oscilloscope</v>
      </c>
      <c r="B367" s="1" t="s">
        <v>721</v>
      </c>
      <c r="C367" t="str">
        <f>Furnitures!B2</f>
        <v>Picoscope</v>
      </c>
      <c r="D367" s="1">
        <f>Furnitures!D2-Roaming!E367</f>
        <v>2</v>
      </c>
      <c r="E367" s="1">
        <f t="shared" ref="E367:E384" si="56">SUM(F367:AJ367)</f>
        <v>0</v>
      </c>
    </row>
    <row r="368" spans="1:36" ht="14.5" x14ac:dyDescent="0.35">
      <c r="A368" s="1" t="str">
        <f>Furnitures!A3</f>
        <v>Oscilloscope</v>
      </c>
      <c r="B368" s="1" t="s">
        <v>721</v>
      </c>
      <c r="C368" t="str">
        <f>Furnitures!B3</f>
        <v>Saleae</v>
      </c>
      <c r="D368" s="1">
        <f>Furnitures!D3-Roaming!E368</f>
        <v>3</v>
      </c>
      <c r="E368" s="1">
        <f t="shared" si="56"/>
        <v>0</v>
      </c>
    </row>
    <row r="369" spans="1:36" ht="14.5" x14ac:dyDescent="0.35">
      <c r="A369" s="1" t="str">
        <f>Furnitures!A4</f>
        <v>Power supply</v>
      </c>
      <c r="B369" s="1" t="s">
        <v>721</v>
      </c>
      <c r="C369" t="str">
        <f>Furnitures!B4</f>
        <v>Sefram 30volts</v>
      </c>
      <c r="D369" s="1">
        <f>Furnitures!D4-Roaming!E369</f>
        <v>2</v>
      </c>
      <c r="E369" s="1">
        <f t="shared" si="56"/>
        <v>0</v>
      </c>
    </row>
    <row r="370" spans="1:36" ht="14.5" x14ac:dyDescent="0.35">
      <c r="A370" s="1" t="str">
        <f>Furnitures!A5</f>
        <v>Power supply</v>
      </c>
      <c r="B370" s="1" t="s">
        <v>721</v>
      </c>
      <c r="C370" t="str">
        <f>Furnitures!B5</f>
        <v>Small yellow ELC 15V</v>
      </c>
      <c r="D370" s="1">
        <f>Furnitures!D5-Roaming!E370</f>
        <v>2</v>
      </c>
      <c r="E370" s="1">
        <f t="shared" si="56"/>
        <v>0</v>
      </c>
    </row>
    <row r="371" spans="1:36" ht="14.5" x14ac:dyDescent="0.35">
      <c r="A371" s="1" t="str">
        <f>Furnitures!A6</f>
        <v>Multimeter</v>
      </c>
      <c r="B371" s="1" t="s">
        <v>721</v>
      </c>
      <c r="C371" t="str">
        <f>Furnitures!B6</f>
        <v>No Name (MP1 Workshop)</v>
      </c>
      <c r="D371" s="1">
        <f>Furnitures!D6-Roaming!E371</f>
        <v>15</v>
      </c>
      <c r="E371" s="1">
        <f t="shared" si="56"/>
        <v>0</v>
      </c>
    </row>
    <row r="372" spans="1:36" ht="14.5" x14ac:dyDescent="0.35">
      <c r="A372" s="1" t="str">
        <f>Furnitures!A7</f>
        <v>USB analyser</v>
      </c>
      <c r="B372" s="1" t="s">
        <v>721</v>
      </c>
      <c r="C372" t="str">
        <f>Furnitures!B7</f>
        <v>Beagle M480</v>
      </c>
      <c r="D372" s="1">
        <f>Furnitures!D7-Roaming!E372</f>
        <v>1</v>
      </c>
      <c r="E372" s="1">
        <f t="shared" si="56"/>
        <v>0</v>
      </c>
    </row>
    <row r="373" spans="1:36" ht="14.5" x14ac:dyDescent="0.35">
      <c r="A373" s="1" t="str">
        <f>Furnitures!A8</f>
        <v>Multimeter</v>
      </c>
      <c r="B373" s="1" t="s">
        <v>721</v>
      </c>
      <c r="C373" t="str">
        <f>Furnitures!B8</f>
        <v>Voltcraft</v>
      </c>
      <c r="D373" s="1">
        <f>Furnitures!D8-Roaming!E373</f>
        <v>1</v>
      </c>
      <c r="E373" s="1">
        <f t="shared" si="56"/>
        <v>0</v>
      </c>
    </row>
    <row r="374" spans="1:36" ht="14.5" x14ac:dyDescent="0.35">
      <c r="A374" s="1" t="str">
        <f>Furnitures!A9</f>
        <v>Multimeter</v>
      </c>
      <c r="B374" s="1" t="s">
        <v>721</v>
      </c>
      <c r="C374" t="str">
        <f>Furnitures!B9</f>
        <v>Fluke (Yellow)</v>
      </c>
      <c r="D374" s="1">
        <f>Furnitures!D9-Roaming!E374</f>
        <v>2</v>
      </c>
      <c r="E374" s="1">
        <f t="shared" si="56"/>
        <v>0</v>
      </c>
    </row>
    <row r="375" spans="1:36" ht="14.5" x14ac:dyDescent="0.35">
      <c r="A375" s="1" t="str">
        <f>Furnitures!A10</f>
        <v>Debugger Probe</v>
      </c>
      <c r="B375" s="1" t="s">
        <v>721</v>
      </c>
      <c r="C375" t="str">
        <f>Furnitures!B10</f>
        <v>Segger Ultra+ (all cores)</v>
      </c>
      <c r="D375" s="1">
        <f>Furnitures!D10-Roaming!E375</f>
        <v>2</v>
      </c>
      <c r="E375" s="1">
        <f t="shared" si="56"/>
        <v>0</v>
      </c>
    </row>
    <row r="376" spans="1:36" ht="14.5" x14ac:dyDescent="0.35">
      <c r="A376" s="1" t="str">
        <f>Furnitures!A11</f>
        <v>STX-RLink Raisonance</v>
      </c>
      <c r="B376" s="1" t="s">
        <v>721</v>
      </c>
      <c r="C376" t="str">
        <f>Furnitures!B11</f>
        <v>Debug Probe</v>
      </c>
      <c r="D376" s="1">
        <f>Furnitures!D11-Roaming!E376</f>
        <v>1</v>
      </c>
      <c r="E376" s="1">
        <f t="shared" ref="E376" si="57">SUM(F376:AJ376)</f>
        <v>1</v>
      </c>
      <c r="X376" s="1">
        <v>1</v>
      </c>
    </row>
    <row r="377" spans="1:36" ht="14.5" x14ac:dyDescent="0.35">
      <c r="A377" s="1" t="str">
        <f>Furnitures!A12</f>
        <v>STLinkV3 PWR</v>
      </c>
      <c r="B377" s="1" t="s">
        <v>721</v>
      </c>
      <c r="C377" t="str">
        <f>Furnitures!B12</f>
        <v>STLinkV3 PWR</v>
      </c>
      <c r="D377" s="1">
        <f>Furnitures!D12-Roaming!E377</f>
        <v>9</v>
      </c>
      <c r="E377" s="1">
        <f t="shared" si="56"/>
        <v>2</v>
      </c>
      <c r="R377" s="1">
        <v>1</v>
      </c>
      <c r="Z377" s="1">
        <v>1</v>
      </c>
    </row>
    <row r="378" spans="1:36" ht="14.5" x14ac:dyDescent="0.35">
      <c r="A378" s="1" t="str">
        <f>Furnitures!A13</f>
        <v>STLink-V3SET</v>
      </c>
      <c r="B378" s="1" t="s">
        <v>721</v>
      </c>
      <c r="C378" t="str">
        <f>Furnitures!B13</f>
        <v>STLink-V3SET</v>
      </c>
      <c r="D378" s="1">
        <f>Furnitures!D13-Roaming!E378</f>
        <v>7</v>
      </c>
      <c r="E378" s="1">
        <f t="shared" si="56"/>
        <v>2</v>
      </c>
      <c r="S378" s="1"/>
      <c r="AJ378" s="1">
        <v>2</v>
      </c>
    </row>
    <row r="379" spans="1:36" ht="14.5" x14ac:dyDescent="0.35">
      <c r="A379" s="1" t="str">
        <f>Furnitures!A14</f>
        <v>STLinkV3 Voltage conversion</v>
      </c>
      <c r="B379" s="1" t="s">
        <v>721</v>
      </c>
      <c r="C379" t="str">
        <f>Furnitures!B14</f>
        <v>B-STLINK-VOLT</v>
      </c>
      <c r="D379" s="1">
        <f>Furnitures!D14-Roaming!E379</f>
        <v>4</v>
      </c>
      <c r="E379" s="1">
        <f t="shared" si="56"/>
        <v>0</v>
      </c>
      <c r="S379" s="1"/>
    </row>
    <row r="380" spans="1:36" ht="14.5" x14ac:dyDescent="0.35">
      <c r="A380" s="1" t="str">
        <f>Furnitures!A15</f>
        <v>STLinkV3 Isolation and voltage adapter</v>
      </c>
      <c r="B380" s="1" t="s">
        <v>721</v>
      </c>
      <c r="C380" t="str">
        <f>Furnitures!B15</f>
        <v>B-STLINK-ISOL</v>
      </c>
      <c r="D380" s="1">
        <f>Furnitures!D15-Roaming!E380</f>
        <v>6</v>
      </c>
      <c r="E380" s="1">
        <f t="shared" si="56"/>
        <v>0</v>
      </c>
      <c r="S380" s="1"/>
    </row>
    <row r="381" spans="1:36" ht="14.5" x14ac:dyDescent="0.35">
      <c r="A381" s="1" t="str">
        <f>Furnitures!A16</f>
        <v>STLinkV3 FDCAN extension</v>
      </c>
      <c r="B381" s="1" t="s">
        <v>721</v>
      </c>
      <c r="C381" t="str">
        <f>Furnitures!B16</f>
        <v>B-STLINK-FDCAN</v>
      </c>
      <c r="D381" s="1">
        <f>Furnitures!D16-Roaming!E381</f>
        <v>2</v>
      </c>
      <c r="E381" s="1">
        <f t="shared" ref="E381" si="58">SUM(F381:AJ381)</f>
        <v>0</v>
      </c>
      <c r="S381" s="1"/>
    </row>
    <row r="382" spans="1:36" ht="14.5" x14ac:dyDescent="0.35">
      <c r="A382" s="1" t="str">
        <f>Furnitures!A17</f>
        <v>STLink-V2 ISOL</v>
      </c>
      <c r="B382" s="1" t="s">
        <v>721</v>
      </c>
      <c r="C382" t="str">
        <f>Furnitures!B17</f>
        <v>STLink-V2 Isolated</v>
      </c>
      <c r="D382" s="1">
        <f>Furnitures!D17-Roaming!E382</f>
        <v>2</v>
      </c>
      <c r="E382" s="1">
        <f t="shared" ref="E382" si="59">SUM(F382:AJ382)</f>
        <v>0</v>
      </c>
      <c r="S382" s="1"/>
    </row>
    <row r="383" spans="1:36" ht="14.5" x14ac:dyDescent="0.35">
      <c r="A383" s="1" t="str">
        <f>Furnitures!A18</f>
        <v>STLink-V3MINIE</v>
      </c>
      <c r="B383" s="1" t="s">
        <v>721</v>
      </c>
      <c r="C383" t="str">
        <f>Furnitures!B18</f>
        <v>STLink-V3MINI</v>
      </c>
      <c r="D383" s="1">
        <f>Furnitures!D18-Roaming!E383</f>
        <v>7</v>
      </c>
      <c r="E383" s="1">
        <f t="shared" si="56"/>
        <v>2</v>
      </c>
      <c r="S383" s="1"/>
      <c r="Y383" s="1">
        <v>2</v>
      </c>
    </row>
    <row r="384" spans="1:36" ht="14.5" x14ac:dyDescent="0.35">
      <c r="A384" s="1" t="str">
        <f>Furnitures!A19</f>
        <v>STLink-V3MODS</v>
      </c>
      <c r="B384" s="1" t="s">
        <v>721</v>
      </c>
      <c r="C384" t="str">
        <f>Furnitures!B19</f>
        <v>STLink-V3MODS</v>
      </c>
      <c r="D384" s="1">
        <f>Furnitures!D19-Roaming!E384</f>
        <v>2</v>
      </c>
      <c r="E384" s="1">
        <f t="shared" si="56"/>
        <v>0</v>
      </c>
      <c r="S384" s="1"/>
    </row>
    <row r="385" spans="1:36" s="24" customFormat="1" ht="14.5" x14ac:dyDescent="0.35">
      <c r="A385" s="26"/>
      <c r="B385" s="26"/>
      <c r="C385" s="25" t="s">
        <v>722</v>
      </c>
      <c r="D385" s="31"/>
      <c r="E385" s="26"/>
      <c r="F385" s="26">
        <f>SUM(F367:F377)</f>
        <v>0</v>
      </c>
      <c r="G385" s="26">
        <f t="shared" ref="G385:AE385" si="60">SUM(G367:G377)</f>
        <v>0</v>
      </c>
      <c r="H385" s="26">
        <f t="shared" si="60"/>
        <v>0</v>
      </c>
      <c r="I385" s="26">
        <f t="shared" si="60"/>
        <v>0</v>
      </c>
      <c r="J385" s="26">
        <f t="shared" si="60"/>
        <v>0</v>
      </c>
      <c r="K385" s="26">
        <f t="shared" si="60"/>
        <v>0</v>
      </c>
      <c r="L385" s="26">
        <f t="shared" si="60"/>
        <v>0</v>
      </c>
      <c r="M385" s="26">
        <f t="shared" si="60"/>
        <v>0</v>
      </c>
      <c r="N385" s="26">
        <f t="shared" si="60"/>
        <v>0</v>
      </c>
      <c r="O385" s="26">
        <f t="shared" si="60"/>
        <v>0</v>
      </c>
      <c r="P385" s="26"/>
      <c r="Q385" s="26"/>
      <c r="R385" s="26">
        <f t="shared" si="60"/>
        <v>1</v>
      </c>
      <c r="S385" s="26">
        <f t="shared" ref="S385" si="61">SUM(S367:S377)</f>
        <v>0</v>
      </c>
      <c r="T385" s="26"/>
      <c r="U385" s="26">
        <f t="shared" si="60"/>
        <v>0</v>
      </c>
      <c r="V385" s="26"/>
      <c r="W385" s="26">
        <f t="shared" si="60"/>
        <v>0</v>
      </c>
      <c r="X385" s="26">
        <f t="shared" si="60"/>
        <v>1</v>
      </c>
      <c r="Y385" s="26">
        <f t="shared" si="60"/>
        <v>0</v>
      </c>
      <c r="Z385" s="26">
        <f t="shared" si="60"/>
        <v>1</v>
      </c>
      <c r="AA385" s="26">
        <f t="shared" si="60"/>
        <v>0</v>
      </c>
      <c r="AB385" s="26">
        <f t="shared" si="60"/>
        <v>0</v>
      </c>
      <c r="AC385" s="26"/>
      <c r="AD385" s="26">
        <f t="shared" si="60"/>
        <v>0</v>
      </c>
      <c r="AE385" s="26">
        <f t="shared" si="60"/>
        <v>0</v>
      </c>
      <c r="AF385" s="26"/>
      <c r="AG385" s="26"/>
      <c r="AH385" s="26"/>
      <c r="AI385" s="26"/>
      <c r="AJ385" s="26"/>
    </row>
  </sheetData>
  <autoFilter ref="A3:AJ385" xr:uid="{7A1C78A2-38A3-475C-99D7-19523F16CA7F}"/>
  <mergeCells count="2">
    <mergeCell ref="F1:R1"/>
    <mergeCell ref="S1:AJ1"/>
  </mergeCells>
  <conditionalFormatting sqref="D4:D12 D14:D70 D72:D110 D112:D118 D120:D206 D208:D254 D256:D296 D298:D365 D367:D384">
    <cfRule type="cellIs" dxfId="23" priority="20" stopIfTrue="1" operator="equal">
      <formula>0</formula>
    </cfRule>
    <cfRule type="cellIs" dxfId="22" priority="21" operator="equal">
      <formula>1</formula>
    </cfRule>
  </conditionalFormatting>
  <conditionalFormatting sqref="F4:AJ12 F19:AJ70 F72:AJ110 F112:AJ118 F120:AJ206 F208:AJ254 F256:AJ296 F298:AJ365 F367:AJ384">
    <cfRule type="cellIs" dxfId="21" priority="12" operator="greaterThanOrEqual">
      <formula>1</formula>
    </cfRule>
  </conditionalFormatting>
  <pageMargins left="0.7" right="0.7" top="0.75" bottom="0.75" header="0.3" footer="0.3"/>
  <pageSetup orientation="portrait" r:id="rId1"/>
  <headerFooter>
    <oddFooter>&amp;R&amp;"Calibri"&amp;11&amp;K000000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r:id="rId1"/>
  <headerFooter>
    <oddFooter>&amp;R&amp;"Calibri"&amp;11&amp;K000000</oddFooter>
  </headerFooter>
  <customProperties>
    <customPr name="DCFIdentifier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G3"/>
  <sheetViews>
    <sheetView workbookViewId="0"/>
  </sheetViews>
  <sheetFormatPr defaultRowHeight="14.5" x14ac:dyDescent="0.35"/>
  <sheetData>
    <row r="1" spans="1:7" x14ac:dyDescent="0.35">
      <c r="A1" t="s">
        <v>723</v>
      </c>
      <c r="B1" t="s">
        <v>724</v>
      </c>
      <c r="C1" t="s">
        <v>725</v>
      </c>
      <c r="D1" t="s">
        <v>726</v>
      </c>
      <c r="E1" t="s">
        <v>727</v>
      </c>
      <c r="F1" t="s">
        <v>728</v>
      </c>
      <c r="G1" t="s">
        <v>729</v>
      </c>
    </row>
    <row r="2" spans="1:7" x14ac:dyDescent="0.35">
      <c r="A2" t="s">
        <v>730</v>
      </c>
      <c r="B2" t="s">
        <v>731</v>
      </c>
      <c r="C2" t="s">
        <v>732</v>
      </c>
      <c r="D2" t="s">
        <v>733</v>
      </c>
      <c r="E2" t="s">
        <v>734</v>
      </c>
      <c r="F2">
        <v>8</v>
      </c>
      <c r="G2" t="s">
        <v>735</v>
      </c>
    </row>
    <row r="3" spans="1:7" x14ac:dyDescent="0.35">
      <c r="A3" t="s">
        <v>736</v>
      </c>
      <c r="B3" t="s">
        <v>737</v>
      </c>
      <c r="C3" t="s">
        <v>738</v>
      </c>
      <c r="D3" t="s">
        <v>739</v>
      </c>
      <c r="E3" t="s">
        <v>740</v>
      </c>
      <c r="F3">
        <v>22</v>
      </c>
      <c r="G3" t="s">
        <v>741</v>
      </c>
    </row>
  </sheetData>
  <pageMargins left="0.7" right="0.7" top="0.75" bottom="0.75" header="0.3" footer="0.3"/>
  <pageSetup paperSize="9" orientation="portrait" r:id="rId1"/>
  <headerFooter>
    <oddFooter>&amp;R&amp;"Calibri"&amp;11&amp;K000000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D3EA96308A4C4BB6CB99FE33582AA4" ma:contentTypeVersion="23" ma:contentTypeDescription="Create a new document." ma:contentTypeScope="" ma:versionID="0827d04720d6b5b40827b7a50b5c9761">
  <xsd:schema xmlns:xsd="http://www.w3.org/2001/XMLSchema" xmlns:xs="http://www.w3.org/2001/XMLSchema" xmlns:p="http://schemas.microsoft.com/office/2006/metadata/properties" xmlns:ns2="1539ea01-d2d1-4a06-b920-1c477107082b" xmlns:ns3="a903c903-f225-477e-9acb-dcad80e462d4" xmlns:ns4="e4e8b862-15e6-4e43-a653-c595c72fe1ca" targetNamespace="http://schemas.microsoft.com/office/2006/metadata/properties" ma:root="true" ma:fieldsID="4cfc5d7283359ce8574ce3c930c8d2c1" ns2:_="" ns3:_="" ns4:_="">
    <xsd:import namespace="1539ea01-d2d1-4a06-b920-1c477107082b"/>
    <xsd:import namespace="a903c903-f225-477e-9acb-dcad80e462d4"/>
    <xsd:import namespace="e4e8b862-15e6-4e43-a653-c595c72fe1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LengthInSeconds" minOccurs="0"/>
                <xsd:element ref="ns2:Notes" minOccurs="0"/>
                <xsd:element ref="ns2:_Flow_SignoffStatus" minOccurs="0"/>
                <xsd:element ref="ns2:lcf76f155ced4ddcb4097134ff3c332f" minOccurs="0"/>
                <xsd:element ref="ns4:TaxCatchAll" minOccurs="0"/>
                <xsd:element ref="ns2:RightOrder" minOccurs="0"/>
                <xsd:element ref="ns2:MediaServiceObjectDetectorVersions" minOccurs="0"/>
                <xsd:element ref="ns2:MediaServiceSearchProperties" minOccurs="0"/>
                <xsd:element ref="ns2:STATU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39ea01-d2d1-4a06-b920-1c477107082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Notes" ma:index="21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_Flow_SignoffStatus" ma:index="22" nillable="true" ma:displayName="Sign-off status" ma:internalName="Sign_x002d_off_x0020_status">
      <xsd:simpleType>
        <xsd:restriction base="dms:Text"/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115f0e51-4dc2-4521-a620-e03b1e9ce12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RightOrder" ma:index="26" nillable="true" ma:displayName="Right Order" ma:format="Dropdown" ma:internalName="RightOrder" ma:percentage="FALSE">
      <xsd:simpleType>
        <xsd:restriction base="dms:Number"/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STATUS" ma:index="29" nillable="true" ma:displayName="STATUS" ma:format="Dropdown" ma:internalName="STATUS">
      <xsd:simpleType>
        <xsd:restriction base="dms:Choice">
          <xsd:enumeration value="Sent for approval"/>
          <xsd:enumeration value="Under review"/>
          <xsd:enumeration value="FINAL"/>
        </xsd:restriction>
      </xsd:simpleType>
    </xsd:element>
    <xsd:element name="MediaServiceBillingMetadata" ma:index="3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03c903-f225-477e-9acb-dcad80e462d4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e8b862-15e6-4e43-a653-c595c72fe1ca" elementFormDefault="qualified">
    <xsd:import namespace="http://schemas.microsoft.com/office/2006/documentManagement/types"/>
    <xsd:import namespace="http://schemas.microsoft.com/office/infopath/2007/PartnerControls"/>
    <xsd:element name="TaxCatchAll" ma:index="25" nillable="true" ma:displayName="Taxonomy Catch All Column" ma:hidden="true" ma:list="{3bc3ea64-1e6c-4351-9f0c-555b4b5afa07}" ma:internalName="TaxCatchAll" ma:showField="CatchAllData" ma:web="a903c903-f225-477e-9acb-dcad80e462d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Notes xmlns="1539ea01-d2d1-4a06-b920-1c477107082b" xsi:nil="true"/>
    <_Flow_SignoffStatus xmlns="1539ea01-d2d1-4a06-b920-1c477107082b" xsi:nil="true"/>
    <TaxCatchAll xmlns="e4e8b862-15e6-4e43-a653-c595c72fe1ca" xsi:nil="true"/>
    <lcf76f155ced4ddcb4097134ff3c332f xmlns="1539ea01-d2d1-4a06-b920-1c477107082b">
      <Terms xmlns="http://schemas.microsoft.com/office/infopath/2007/PartnerControls"/>
    </lcf76f155ced4ddcb4097134ff3c332f>
    <RightOrder xmlns="1539ea01-d2d1-4a06-b920-1c477107082b" xsi:nil="true"/>
    <STATUS xmlns="1539ea01-d2d1-4a06-b920-1c477107082b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359324D9-4A61-4F43-B5B6-08233EB0EF5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FF1EC0A-7793-4EB3-9977-60E4396E31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539ea01-d2d1-4a06-b920-1c477107082b"/>
    <ds:schemaRef ds:uri="a903c903-f225-477e-9acb-dcad80e462d4"/>
    <ds:schemaRef ds:uri="e4e8b862-15e6-4e43-a653-c595c72fe1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335DFDE-8279-489E-9184-159EB50EFCE8}">
  <ds:schemaRefs>
    <ds:schemaRef ds:uri="a903c903-f225-477e-9acb-dcad80e462d4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1539ea01-d2d1-4a06-b920-1c477107082b"/>
    <ds:schemaRef ds:uri="http://purl.org/dc/terms/"/>
    <ds:schemaRef ds:uri="http://purl.org/dc/elements/1.1/"/>
    <ds:schemaRef ds:uri="http://purl.org/dc/dcmitype/"/>
    <ds:schemaRef ds:uri="http://www.w3.org/XML/1998/namespace"/>
    <ds:schemaRef ds:uri="http://schemas.openxmlformats.org/package/2006/metadata/core-properties"/>
    <ds:schemaRef ds:uri="e4e8b862-15e6-4e43-a653-c595c72fe1ca"/>
  </ds:schemaRefs>
</ds:datastoreItem>
</file>

<file path=customXml/itemProps4.xml><?xml version="1.0" encoding="utf-8"?>
<ds:datastoreItem xmlns:ds="http://schemas.openxmlformats.org/officeDocument/2006/customXml" ds:itemID="{8DE3BB09-2BDF-4AFB-ACB3-79A6B531EAF5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cf8c7287-838c-46dd-b281-b1140229e67a}" enabled="1" method="Privileged" siteId="{75e027c9-20d5-47d5-b82f-77d7cd041e8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Furnitures</vt:lpstr>
      <vt:lpstr>Furnitures_Automated</vt:lpstr>
      <vt:lpstr>User_map</vt:lpstr>
      <vt:lpstr>NUCLEO</vt:lpstr>
      <vt:lpstr>NUCLEO_Automated</vt:lpstr>
      <vt:lpstr>DISCOVERY-EVAL</vt:lpstr>
      <vt:lpstr>DISCOVERY-EVAL_Automated</vt:lpstr>
      <vt:lpstr>Roaming</vt:lpstr>
      <vt:lpstr>Classified as UnClassified</vt:lpstr>
      <vt:lpstr>NUCLEO!Print_Area</vt:lpstr>
      <vt:lpstr>UserPath</vt:lpstr>
    </vt:vector>
  </TitlesOfParts>
  <Manager/>
  <Company>STMicroelectronics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Jocelyn RICARD</dc:creator>
  <cp:keywords/>
  <dc:description/>
  <cp:lastModifiedBy>Feriel BOUDJATIT</cp:lastModifiedBy>
  <cp:revision/>
  <dcterms:created xsi:type="dcterms:W3CDTF">2016-11-09T09:41:46Z</dcterms:created>
  <dcterms:modified xsi:type="dcterms:W3CDTF">2025-09-22T10:13:57Z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0x0101003ED3EA96308A4C4BB6CB99FE33582AA4</vt:lpwstr>
  </property>
  <property fmtid="{D5CDD505-2E9C-101B-9397-08002B2CF9AE}" pid="3" name="MSIP_Label_23add6c0-cfdb-4bb9-b90f-bf23b83aa6c0_Enabled">
    <vt:lpwstr>true</vt:lpwstr>
  </property>
  <property fmtid="{D5CDD505-2E9C-101B-9397-08002B2CF9AE}" pid="4" name="MSIP_Label_23add6c0-cfdb-4bb9-b90f-bf23b83aa6c0_SetDate">
    <vt:lpwstr>2022-04-07T13:27:25Z</vt:lpwstr>
  </property>
  <property fmtid="{D5CDD505-2E9C-101B-9397-08002B2CF9AE}" pid="5" name="MSIP_Label_23add6c0-cfdb-4bb9-b90f-bf23b83aa6c0_Method">
    <vt:lpwstr>Privileged</vt:lpwstr>
  </property>
  <property fmtid="{D5CDD505-2E9C-101B-9397-08002B2CF9AE}" pid="6" name="MSIP_Label_23add6c0-cfdb-4bb9-b90f-bf23b83aa6c0_Name">
    <vt:lpwstr>23add6c0-cfdb-4bb9-b90f-bf23b83aa6c0</vt:lpwstr>
  </property>
  <property fmtid="{D5CDD505-2E9C-101B-9397-08002B2CF9AE}" pid="7" name="MSIP_Label_23add6c0-cfdb-4bb9-b90f-bf23b83aa6c0_SiteId">
    <vt:lpwstr>75e027c9-20d5-47d5-b82f-77d7cd041e8f</vt:lpwstr>
  </property>
  <property fmtid="{D5CDD505-2E9C-101B-9397-08002B2CF9AE}" pid="8" name="MSIP_Label_23add6c0-cfdb-4bb9-b90f-bf23b83aa6c0_ActionId">
    <vt:lpwstr>15e5cbb6-2a0b-4ef6-9619-008dbbadc8e9</vt:lpwstr>
  </property>
  <property fmtid="{D5CDD505-2E9C-101B-9397-08002B2CF9AE}" pid="9" name="MSIP_Label_23add6c0-cfdb-4bb9-b90f-bf23b83aa6c0_ContentBits">
    <vt:lpwstr>2</vt:lpwstr>
  </property>
  <property fmtid="{D5CDD505-2E9C-101B-9397-08002B2CF9AE}" pid="10" name="MediaServiceImageTags">
    <vt:lpwstr/>
  </property>
</Properties>
</file>